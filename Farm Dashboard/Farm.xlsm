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webextensions/webextension1.xml" ContentType="application/vnd.ms-office.webextension+xml"/>
  <Override PartName="/xl/pivotTables/pivotTable4.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webextensions/webextension2.xml" ContentType="application/vnd.ms-office.webextension+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karim\Desktop\"/>
    </mc:Choice>
  </mc:AlternateContent>
  <xr:revisionPtr revIDLastSave="0" documentId="13_ncr:1_{AAF63F8F-B36D-48B9-8EF1-F2A8E69D4852}" xr6:coauthVersionLast="47" xr6:coauthVersionMax="47" xr10:uidLastSave="{00000000-0000-0000-0000-000000000000}"/>
  <bookViews>
    <workbookView xWindow="28680" yWindow="-120" windowWidth="51840" windowHeight="21120" activeTab="6" xr2:uid="{00000000-000D-0000-FFFF-FFFF00000000}"/>
  </bookViews>
  <sheets>
    <sheet name="Items" sheetId="1" r:id="rId1"/>
    <sheet name="Inventory" sheetId="2" r:id="rId2"/>
    <sheet name="Daily Collection" sheetId="4" r:id="rId3"/>
    <sheet name="Daily Sales" sheetId="3" r:id="rId4"/>
    <sheet name="Input" sheetId="5" r:id="rId5"/>
    <sheet name="Expenses" sheetId="7" r:id="rId6"/>
    <sheet name="DashBoard" sheetId="6" r:id="rId7"/>
  </sheets>
  <definedNames>
    <definedName name="_xlcn.WorksheetConnection_DailySalesAG1" hidden="1">'Daily Sales'!$A:$G</definedName>
    <definedName name="_xlcn.WorksheetConnection_Farm.xlsmTable11" hidden="1">Table1[]</definedName>
    <definedName name="_xlcn.WorksheetConnection_Project.xlsmTable31" hidden="1">Table3[]</definedName>
    <definedName name="_xleta.TODAY" hidden="1" xlm="1">#NAME?</definedName>
    <definedName name="Slicer_Test">#N/A</definedName>
  </definedNames>
  <calcPr calcId="191029"/>
  <pivotCaches>
    <pivotCache cacheId="107" r:id="rId8"/>
    <pivotCache cacheId="362" r:id="rId9"/>
    <pivotCache cacheId="365" r:id="rId10"/>
    <pivotCache cacheId="368" r:id="rId11"/>
  </pivotCaches>
  <extLst>
    <ext xmlns:x14="http://schemas.microsoft.com/office/spreadsheetml/2009/9/main" uri="{876F7934-8845-4945-9796-88D515C7AA90}">
      <x14:pivotCaches>
        <pivotCache cacheId="286"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 name="Sales" connection="WorksheetConnection_Project.xlsm!Table3"/>
          <x15:modelTable id="Range" name="Range" connection="WorksheetConnection_Daily Sales!$A:$G"/>
          <x15:modelTable id="Table1" name="Exp" connection="WorksheetConnection_Far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4" i="3" l="1" a="1"/>
  <c r="N24" i="3" s="1"/>
  <c r="N23" i="3"/>
  <c r="A6" i="4"/>
  <c r="B2" i="2"/>
  <c r="N25" i="3"/>
  <c r="G4" i="3"/>
  <c r="G5" i="3"/>
  <c r="E2" i="3"/>
  <c r="F2" i="3"/>
  <c r="G2" i="3"/>
  <c r="A2" i="3"/>
  <c r="E3" i="3"/>
  <c r="F3" i="3"/>
  <c r="G3" i="3"/>
  <c r="E4" i="3"/>
  <c r="F4" i="3"/>
  <c r="G6" i="3"/>
  <c r="G7" i="3"/>
  <c r="F5" i="3"/>
  <c r="F6" i="3"/>
  <c r="F7" i="3"/>
  <c r="E5" i="3"/>
  <c r="E6" i="3"/>
  <c r="E7" i="3"/>
  <c r="A7" i="3"/>
  <c r="A6" i="3" s="1"/>
  <c r="A5" i="3" s="1"/>
  <c r="A4" i="3" s="1"/>
  <c r="A3" i="3" s="1"/>
  <c r="B4" i="2"/>
  <c r="B5" i="2"/>
  <c r="B6" i="2"/>
  <c r="B7" i="2"/>
  <c r="B8" i="2"/>
  <c r="B9" i="2"/>
  <c r="B3" i="2"/>
  <c r="A7" i="4"/>
  <c r="A5" i="4" l="1"/>
  <c r="A4" i="4" s="1"/>
  <c r="A3" i="4" s="1"/>
  <c r="A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6ADC6D-A88A-4C80-900F-968628A7CAA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F97A4048-A9A9-446F-810F-EEEB3C0C9D4B}" name="WorksheetConnection_Daily Sales!$A:$G" type="102" refreshedVersion="8" minRefreshableVersion="5">
    <extLst>
      <ext xmlns:x15="http://schemas.microsoft.com/office/spreadsheetml/2010/11/main" uri="{DE250136-89BD-433C-8126-D09CA5730AF9}">
        <x15:connection id="Range" autoDelete="1">
          <x15:rangePr sourceName="_xlcn.WorksheetConnection_DailySalesAG1"/>
        </x15:connection>
      </ext>
    </extLst>
  </connection>
  <connection id="3" xr16:uid="{9D38268D-F017-4A12-B654-A5F8DB00DA21}" name="WorksheetConnection_Farm.xlsm!Table1" type="102" refreshedVersion="8" minRefreshableVersion="5">
    <extLst>
      <ext xmlns:x15="http://schemas.microsoft.com/office/spreadsheetml/2010/11/main" uri="{DE250136-89BD-433C-8126-D09CA5730AF9}">
        <x15:connection id="Table1">
          <x15:rangePr sourceName="_xlcn.WorksheetConnection_Farm.xlsmTable11"/>
        </x15:connection>
      </ext>
    </extLst>
  </connection>
  <connection id="4" xr16:uid="{6FA79A41-5545-4242-A204-0CC2C43129FB}" name="WorksheetConnection_Project.xlsm!Table3" type="102" refreshedVersion="8" minRefreshableVersion="5">
    <extLst>
      <ext xmlns:x15="http://schemas.microsoft.com/office/spreadsheetml/2010/11/main" uri="{DE250136-89BD-433C-8126-D09CA5730AF9}">
        <x15:connection id="Table3">
          <x15:rangePr sourceName="_xlcn.WorksheetConnection_Project.xlsmTable3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<sst xmlns="http://schemas.openxmlformats.org/spreadsheetml/2006/main" count="119" uniqueCount="57">
  <si>
    <t xml:space="preserve"> Name</t>
  </si>
  <si>
    <t xml:space="preserve"> Category</t>
  </si>
  <si>
    <t xml:space="preserve">Item_ID </t>
  </si>
  <si>
    <t xml:space="preserve"> Unit Price</t>
  </si>
  <si>
    <t>Tomatoes</t>
  </si>
  <si>
    <t>Vegetables</t>
  </si>
  <si>
    <t>Cucumbers</t>
  </si>
  <si>
    <t>Apples</t>
  </si>
  <si>
    <t>Fruits</t>
  </si>
  <si>
    <t>Oranges</t>
  </si>
  <si>
    <t>Milk</t>
  </si>
  <si>
    <t>Dairy</t>
  </si>
  <si>
    <t>Eggs (Dozen)</t>
  </si>
  <si>
    <t>Wheat</t>
  </si>
  <si>
    <t>Grains</t>
  </si>
  <si>
    <t>Corn</t>
  </si>
  <si>
    <t xml:space="preserve"> Date</t>
  </si>
  <si>
    <t xml:space="preserve"> Quantity Collected.</t>
  </si>
  <si>
    <t xml:space="preserve">Collection_ID </t>
  </si>
  <si>
    <t>Unit</t>
  </si>
  <si>
    <t>kg</t>
  </si>
  <si>
    <t>liters</t>
  </si>
  <si>
    <t>dozen</t>
  </si>
  <si>
    <t>Date</t>
  </si>
  <si>
    <t>Item</t>
  </si>
  <si>
    <t>currentStock</t>
  </si>
  <si>
    <t>C1</t>
  </si>
  <si>
    <t xml:space="preserve">Sales_ID </t>
  </si>
  <si>
    <t xml:space="preserve"> Quantity Sold.</t>
  </si>
  <si>
    <t xml:space="preserve">Quantity </t>
  </si>
  <si>
    <t>S1</t>
  </si>
  <si>
    <t>Item_Name</t>
  </si>
  <si>
    <t xml:space="preserve"> </t>
  </si>
  <si>
    <t>Row Labels</t>
  </si>
  <si>
    <t>Grand Total</t>
  </si>
  <si>
    <t>Sum of currentStock</t>
  </si>
  <si>
    <t>Sum of Quantity Sold.</t>
  </si>
  <si>
    <t>Year</t>
  </si>
  <si>
    <t>Month</t>
  </si>
  <si>
    <t>Day</t>
  </si>
  <si>
    <t>2025</t>
  </si>
  <si>
    <t>T.Revennune</t>
  </si>
  <si>
    <t>Daily Teacker</t>
  </si>
  <si>
    <t>Expense Category</t>
  </si>
  <si>
    <t>Description</t>
  </si>
  <si>
    <t>Amount</t>
  </si>
  <si>
    <t>Payment Method</t>
  </si>
  <si>
    <t>Vendor/Supplier</t>
  </si>
  <si>
    <t>Notes</t>
  </si>
  <si>
    <t>water</t>
  </si>
  <si>
    <t>electricity</t>
  </si>
  <si>
    <t>Sum of Amount</t>
  </si>
  <si>
    <t>labor</t>
  </si>
  <si>
    <t>seeds</t>
  </si>
  <si>
    <t>equipment</t>
  </si>
  <si>
    <t>fertilizers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</si>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</sst>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5" x14ac:knownFonts="1">
    <font>
      <sz val="11"/>
      <color theme="1"/>
      <name val="Calibri"/>
      <family val="2"/>
      <scheme val="minor"/>
    </font>
    <font>
      <sz val="11"/>
      <color theme="1"/>
      <name val="Calibri"/>
      <family val="2"/>
      <scheme val="minor"/>
    </font>
    <font>
      <sz val="8"/>
      <name val="Calibri"/>
      <family val="2"/>
      <scheme val="minor"/>
    </font>
    <font>
      <b/>
      <sz val="11"/>
      <color rgb="FF000000"/>
      <name val="Calibri"/>
      <family val="2"/>
    </font>
    <font>
      <b/>
      <sz val="12"/>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32">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horizontal="center"/>
    </xf>
    <xf numFmtId="0" fontId="0" fillId="2" borderId="1" xfId="0" applyFill="1" applyBorder="1" applyAlignment="1">
      <alignment horizontal="center" vertical="center"/>
    </xf>
    <xf numFmtId="14" fontId="0" fillId="3" borderId="1" xfId="0" applyNumberFormat="1" applyFill="1" applyBorder="1" applyAlignment="1">
      <alignment horizontal="center" vertical="center"/>
    </xf>
    <xf numFmtId="0" fontId="0" fillId="3" borderId="1" xfId="0" applyFill="1" applyBorder="1" applyAlignment="1">
      <alignment horizontal="center" vertical="center"/>
    </xf>
    <xf numFmtId="0" fontId="0" fillId="4" borderId="2" xfId="0" applyFill="1" applyBorder="1"/>
    <xf numFmtId="0" fontId="0" fillId="4" borderId="3" xfId="0" applyFill="1" applyBorder="1"/>
    <xf numFmtId="0" fontId="0" fillId="4" borderId="0" xfId="0" applyFill="1" applyAlignment="1">
      <alignment horizontal="center" vertical="center"/>
    </xf>
    <xf numFmtId="0" fontId="0" fillId="4" borderId="0" xfId="0" applyFill="1"/>
    <xf numFmtId="0" fontId="0" fillId="4" borderId="4" xfId="0" applyFill="1" applyBorder="1" applyAlignment="1">
      <alignment horizontal="center" vertical="center"/>
    </xf>
    <xf numFmtId="0" fontId="0" fillId="4" borderId="4" xfId="0" applyFill="1" applyBorder="1"/>
    <xf numFmtId="164" fontId="0"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44" fontId="0" fillId="0" borderId="0" xfId="2" applyFont="1" applyAlignment="1">
      <alignment horizontal="center" vertical="center"/>
    </xf>
    <xf numFmtId="44" fontId="0" fillId="0" borderId="0" xfId="2" applyFont="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Border="1"/>
    <xf numFmtId="0" fontId="0" fillId="0" borderId="9" xfId="0" applyBorder="1"/>
    <xf numFmtId="0" fontId="0" fillId="0" borderId="10" xfId="0" applyBorder="1"/>
    <xf numFmtId="0" fontId="0" fillId="0" borderId="11" xfId="0" applyBorder="1"/>
    <xf numFmtId="0" fontId="0" fillId="0" borderId="12" xfId="0" applyBorder="1"/>
    <xf numFmtId="44" fontId="4" fillId="0" borderId="0" xfId="2" applyFont="1" applyAlignment="1">
      <alignment horizontal="center" vertical="center"/>
    </xf>
    <xf numFmtId="0" fontId="4" fillId="0" borderId="0" xfId="2" applyNumberFormat="1" applyFont="1" applyAlignment="1">
      <alignment horizontal="center" vertical="center"/>
    </xf>
    <xf numFmtId="14" fontId="4" fillId="0" borderId="0" xfId="2" applyNumberFormat="1" applyFont="1" applyAlignment="1">
      <alignment horizontal="center" vertical="center"/>
    </xf>
  </cellXfs>
  <cellStyles count="3">
    <cellStyle name="Comma" xfId="1" builtinId="3"/>
    <cellStyle name="Currency" xfId="2" builtinId="4"/>
    <cellStyle name="Normal" xfId="0" builtinId="0"/>
  </cellStyles>
  <dxfs count="24">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heetMetadata" Target="metadata.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3.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[Farm.xlsm]Inventory!PivotTable7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Inventory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Inventory!$F$1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Inventory!$E$2:$E$10</c:f>
              <c:strCache>
                <c:ptCount val="8"/>
                <c:pt idx="0">
                  <c:v>Eggs (Dozen)</c:v>
                </c:pt>
                <c:pt idx="1">
                  <c:v>Tomatoes</c:v>
                </c:pt>
                <c:pt idx="2">
                  <c:v>Wheat</c:v>
                </c:pt>
                <c:pt idx="3">
                  <c:v>Apples</c:v>
                </c:pt>
                <c:pt idx="4">
                  <c:v>Milk</c:v>
                </c:pt>
                <c:pt idx="5">
                  <c:v>Cucumbers</c:v>
                </c:pt>
                <c:pt idx="6">
                  <c:v>Oranges</c:v>
                </c:pt>
                <c:pt idx="7">
                  <c:v>Corn</c:v>
                </c:pt>
              </c:strCache>
            </c:strRef>
          </c:cat>
          <c:val>
            <c:numRef>
              <c:f>Inventory!$F$2:$F$10</c:f>
              <c:numCache>
                <c:formatCode>General</c:formatCode>
                <c:ptCount val="8"/>
                <c:pt idx="0">
                  <c:v>0</c:v>
                </c:pt>
                <c:pt idx="1">
                  <c:v>0</c:v>
                </c:pt>
                <c:pt idx="2">
                  <c:v>0</c:v>
                </c:pt>
                <c:pt idx="3">
                  <c:v>30</c:v>
                </c:pt>
                <c:pt idx="4">
                  <c:v>80</c:v>
                </c:pt>
                <c:pt idx="5">
                  <c:v>80</c:v>
                </c:pt>
                <c:pt idx="6">
                  <c:v>160</c:v>
                </c:pt>
                <c:pt idx="7">
                  <c:v>500</c:v>
                </c:pt>
              </c:numCache>
            </c:numRef>
          </c:val>
          <c:extLst>
            <c:ext xmlns:c16="http://schemas.microsoft.com/office/drawing/2014/chart" uri="{C3380CC4-5D6E-409C-BE32-E72D297353CC}">
              <c16:uniqueId val="{00000000-F479-42EF-9CA4-373883584419}"/>
            </c:ext>
          </c:extLst>
        </c:ser>
        <c:dLbls>
          <c:dLblPos val="outEnd"/>
          <c:showLegendKey val="0"/>
          <c:showVal val="1"/>
          <c:showCatName val="0"/>
          <c:showSerName val="0"/>
          <c:showPercent val="0"/>
          <c:showBubbleSize val="0"/>
        </c:dLbls>
        <c:gapWidth val="219"/>
        <c:axId val="1862897808"/>
        <c:axId val="577372080"/>
      </c:barChart>
      <c:catAx>
        <c:axId val="1862897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77372080"/>
        <c:crosses val="autoZero"/>
        <c:auto val="1"/>
        <c:lblAlgn val="ctr"/>
        <c:lblOffset val="100"/>
        <c:noMultiLvlLbl val="0"/>
      </c:catAx>
      <c:valAx>
        <c:axId val="577372080"/>
        <c:scaling>
          <c:orientation val="minMax"/>
        </c:scaling>
        <c:delete val="1"/>
        <c:axPos val="b"/>
        <c:numFmt formatCode="General" sourceLinked="1"/>
        <c:majorTickMark val="none"/>
        <c:minorTickMark val="none"/>
        <c:tickLblPos val="nextTo"/>
        <c:crossAx val="1862897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[Farm.xlsm]Daily Sales!PivotTable3</c:name>
    <c:fmtId val="5"/>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Revenue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'Daily Sales'!$K$14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'Daily Sales'!$J$15:$J$21</c:f>
              <c:multiLvlStrCache>
                <c:ptCount val="4"/>
                <c:lvl>
                  <c:pt idx="0">
                    <c:v>2</c:v>
                  </c:pt>
                  <c:pt idx="1">
                    <c:v>1</c:v>
                  </c:pt>
                  <c:pt idx="2">
                    <c:v>2</c:v>
                  </c:pt>
                  <c:pt idx="3">
                    <c:v>3</c:v>
                  </c:pt>
                </c:lvl>
                <c:lvl>
                  <c:pt idx="0">
                    <c:v>2024</c:v>
                  </c:pt>
                  <c:pt idx="1">
                    <c:v>2025</c:v>
                  </c:pt>
                </c:lvl>
              </c:multiLvlStrCache>
            </c:multiLvlStrRef>
          </c:cat>
          <c:val>
            <c:numRef>
              <c:f>'Daily Sales'!$K$15:$K$21</c:f>
              <c:numCache>
                <c:formatCode>General</c:formatCode>
                <c:ptCount val="4"/>
                <c:pt idx="0">
                  <c:v>20</c:v>
                </c:pt>
                <c:pt idx="1">
                  <c:v>130</c:v>
                </c:pt>
                <c:pt idx="2">
                  <c:v>20</c:v>
                </c:pt>
                <c:pt idx="3">
                  <c:v>50</c:v>
                </c:pt>
              </c:numCache>
            </c:numRef>
          </c:val>
          <c:smooth val="0"/>
          <c:extLst>
            <c:ext xmlns:c16="http://schemas.microsoft.com/office/drawing/2014/chart" uri="{C3380CC4-5D6E-409C-BE32-E72D297353CC}">
              <c16:uniqueId val="{00000000-093E-4D1D-9FFF-32B61779CCF2}"/>
            </c:ext>
          </c:extLst>
        </c:ser>
        <c:dLbls>
          <c:dLblPos val="t"/>
          <c:showLegendKey val="0"/>
          <c:showVal val="1"/>
          <c:showCatName val="0"/>
          <c:showSerName val="0"/>
          <c:showPercent val="0"/>
          <c:showBubbleSize val="0"/>
        </c:dLbls>
        <c:smooth val="0"/>
        <c:axId val="1181982879"/>
        <c:axId val="1181983839"/>
      </c:lineChart>
      <c:catAx>
        <c:axId val="118198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83839"/>
        <c:crosses val="autoZero"/>
        <c:auto val="1"/>
        <c:lblAlgn val="ctr"/>
        <c:lblOffset val="100"/>
        <c:noMultiLvlLbl val="0"/>
      </c:catAx>
      <c:valAx>
        <c:axId val="11819838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81982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[Farm.xlsm]Daily Sales!PivotTable2</c:name>
    <c:fmtId val="4"/>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Sales By Items</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'Daily Sales'!$K$30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'Daily Sales'!$J$31:$J$36</c:f>
              <c:strCache>
                <c:ptCount val="5"/>
                <c:pt idx="0">
                  <c:v>Corn</c:v>
                </c:pt>
                <c:pt idx="1">
                  <c:v>Oranges</c:v>
                </c:pt>
                <c:pt idx="2">
                  <c:v>Milk</c:v>
                </c:pt>
                <c:pt idx="3">
                  <c:v>Apples</c:v>
                </c:pt>
                <c:pt idx="4">
                  <c:v>Cucumbers</c:v>
                </c:pt>
              </c:strCache>
            </c:strRef>
          </c:cat>
          <c:val>
            <c:numRef>
              <c:f>'Daily Sales'!$K$31:$K$36</c:f>
              <c:numCache>
                <c:formatCode>General</c:formatCode>
                <c:ptCount val="5"/>
                <c:pt idx="0">
                  <c:v>100</c:v>
                </c:pt>
                <c:pt idx="1">
                  <c:v>60</c:v>
                </c:pt>
                <c:pt idx="2">
                  <c:v>20</c:v>
                </c:pt>
                <c:pt idx="3">
                  <c:v>20</c:v>
                </c:pt>
                <c:pt idx="4">
                  <c:v>20</c:v>
                </c:pt>
              </c:numCache>
            </c:numRef>
          </c:val>
          <c:extLst>
            <c:ext xmlns:c16="http://schemas.microsoft.com/office/drawing/2014/chart" uri="{C3380CC4-5D6E-409C-BE32-E72D297353CC}">
              <c16:uniqueId val="{00000000-CEAD-4A81-ACD0-8EF92545F394}"/>
            </c:ext>
          </c:extLst>
        </c:ser>
        <c:dLbls>
          <c:dLblPos val="outEnd"/>
          <c:showLegendKey val="0"/>
          <c:showVal val="1"/>
          <c:showCatName val="0"/>
          <c:showSerName val="0"/>
          <c:showPercent val="0"/>
          <c:showBubbleSize val="0"/>
        </c:dLbls>
        <c:gapWidth val="219"/>
        <c:overlap val="-27"/>
        <c:axId val="863995567"/>
        <c:axId val="863996527"/>
      </c:barChart>
      <c:catAx>
        <c:axId val="8639955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63996527"/>
        <c:crosses val="autoZero"/>
        <c:auto val="1"/>
        <c:lblAlgn val="ctr"/>
        <c:lblOffset val="100"/>
        <c:noMultiLvlLbl val="0"/>
      </c:catAx>
      <c:valAx>
        <c:axId val="86399652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63995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[Farm.xlsm]Expenses!PivotTable3</c:name>
    <c:fmtId val="2"/>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Expenses</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Expenses!$O$26</c:f>
              <c:strCache>
                <c:ptCount val="1"/>
                <c:pt idx="0">
                  <c:v>Total</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Expenses!$N$27:$N$33</c:f>
              <c:strCache>
                <c:ptCount val="6"/>
                <c:pt idx="0">
                  <c:v>electricity</c:v>
                </c:pt>
                <c:pt idx="1">
                  <c:v>equipment</c:v>
                </c:pt>
                <c:pt idx="2">
                  <c:v>fertilizers</c:v>
                </c:pt>
                <c:pt idx="3">
                  <c:v>labor</c:v>
                </c:pt>
                <c:pt idx="4">
                  <c:v>seeds</c:v>
                </c:pt>
                <c:pt idx="5">
                  <c:v>water</c:v>
                </c:pt>
              </c:strCache>
            </c:strRef>
          </c:cat>
          <c:val>
            <c:numRef>
              <c:f>Expenses!$O$27:$O$33</c:f>
              <c:numCache>
                <c:formatCode>General</c:formatCode>
                <c:ptCount val="6"/>
                <c:pt idx="0">
                  <c:v>100</c:v>
                </c:pt>
                <c:pt idx="1">
                  <c:v>273.93</c:v>
                </c:pt>
                <c:pt idx="2">
                  <c:v>242.68</c:v>
                </c:pt>
                <c:pt idx="3">
                  <c:v>31.16</c:v>
                </c:pt>
                <c:pt idx="4">
                  <c:v>527</c:v>
                </c:pt>
                <c:pt idx="5">
                  <c:v>120</c:v>
                </c:pt>
              </c:numCache>
            </c:numRef>
          </c:val>
          <c:extLst>
            <c:ext xmlns:c16="http://schemas.microsoft.com/office/drawing/2014/chart" uri="{C3380CC4-5D6E-409C-BE32-E72D297353CC}">
              <c16:uniqueId val="{00000000-8F0C-4049-993F-3C45303F8552}"/>
            </c:ext>
          </c:extLst>
        </c:ser>
        <c:dLbls>
          <c:dLblPos val="outEnd"/>
          <c:showLegendKey val="0"/>
          <c:showVal val="1"/>
          <c:showCatName val="0"/>
          <c:showSerName val="0"/>
          <c:showPercent val="0"/>
          <c:showBubbleSize val="0"/>
        </c:dLbls>
        <c:gapWidth val="440"/>
        <c:overlap val="-51"/>
        <c:axId val="305549871"/>
        <c:axId val="305550831"/>
      </c:barChart>
      <c:catAx>
        <c:axId val="30554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5550831"/>
        <c:crosses val="autoZero"/>
        <c:auto val="1"/>
        <c:lblAlgn val="ctr"/>
        <c:lblOffset val="100"/>
        <c:noMultiLvlLbl val="0"/>
      </c:catAx>
      <c:valAx>
        <c:axId val="305550831"/>
        <c:scaling>
          <c:orientation val="minMax"/>
        </c:scaling>
        <c:delete val="1"/>
        <c:axPos val="b"/>
        <c:numFmt formatCode="General" sourceLinked="1"/>
        <c:majorTickMark val="none"/>
        <c:minorTickMark val="none"/>
        <c:tickLblPos val="nextTo"/>
        <c:crossAx val="30554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3</xdr:row>
          <xdr:rowOff>38100</xdr:rowOff>
        </xdr:from>
        <xdr:to>
          <xdr:col>0</xdr:col>
          <xdr:colOff>1249680</xdr:colOff>
          <xdr:row>8</xdr:row>
          <xdr:rowOff>45720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Collect</a:t>
              </a:r>
            </a:p>
          </xdr:txBody>
        </xdr:sp>
        <xdr:clientData fPrintsWithSheet="0"/>
      </xdr:twoCellAnchor>
    </mc:Choice>
    <mc:Fallback/>
  </mc:AlternateContent>
  <xdr:twoCellAnchor>
    <xdr:from>
      <xdr:col>3</xdr:col>
      <xdr:colOff>28575</xdr:colOff>
      <xdr:row>0</xdr:row>
      <xdr:rowOff>29527</xdr:rowOff>
    </xdr:from>
    <xdr:to>
      <xdr:col>6</xdr:col>
      <xdr:colOff>217170</xdr:colOff>
      <xdr:row>6</xdr:row>
      <xdr:rowOff>66674</xdr:rowOff>
    </xdr:to>
    <mc:AlternateContent xmlns:mc="http://schemas.openxmlformats.org/markup-compatibility/2006">
      <mc:Choice xmlns:we="http://schemas.microsoft.com/office/webextensions/webextension/2010/11" Requires="we">
        <xdr:graphicFrame macro="">
          <xdr:nvGraphicFramePr>
            <xdr:cNvPr id="2" name="Add-in 1">
              <a:extLst>
                <a:ext uri="{FF2B5EF4-FFF2-40B4-BE49-F238E27FC236}">
                  <a16:creationId xmlns:a16="http://schemas.microsoft.com/office/drawing/2014/main" id="{5B700BE8-B9A8-214B-8AA9-3BF9E4AC1D66}"/>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a:extLst>
                <a:ext uri="{FF2B5EF4-FFF2-40B4-BE49-F238E27FC236}">
                  <a16:creationId xmlns:a16="http://schemas.microsoft.com/office/drawing/2014/main" id="{5B700BE8-B9A8-214B-8AA9-3BF9E4AC1D66}"/>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1</xdr:col>
          <xdr:colOff>0</xdr:colOff>
          <xdr:row>3</xdr:row>
          <xdr:rowOff>53340</xdr:rowOff>
        </xdr:from>
        <xdr:to>
          <xdr:col>2</xdr:col>
          <xdr:colOff>190500</xdr:colOff>
          <xdr:row>8</xdr:row>
          <xdr:rowOff>45720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Sell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311467</xdr:colOff>
      <xdr:row>1</xdr:row>
      <xdr:rowOff>105727</xdr:rowOff>
    </xdr:from>
    <xdr:to>
      <xdr:col>11</xdr:col>
      <xdr:colOff>159067</xdr:colOff>
      <xdr:row>13</xdr:row>
      <xdr:rowOff>37147</xdr:rowOff>
    </xdr:to>
    <mc:AlternateContent xmlns:mc="http://schemas.openxmlformats.org/markup-compatibility/2006">
      <mc:Choice xmlns:we="http://schemas.microsoft.com/office/webextensions/webextension/2010/11" Requires="we">
        <xdr:graphicFrame macro="">
          <xdr:nvGraphicFramePr>
            <xdr:cNvPr id="2" name="Add-in 1">
              <a:extLst>
                <a:ext uri="{FF2B5EF4-FFF2-40B4-BE49-F238E27FC236}">
                  <a16:creationId xmlns:a16="http://schemas.microsoft.com/office/drawing/2014/main" id="{D0CFE919-3CA4-C0E7-FFD5-3D6AFE29209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a:extLst>
                <a:ext uri="{FF2B5EF4-FFF2-40B4-BE49-F238E27FC236}">
                  <a16:creationId xmlns:a16="http://schemas.microsoft.com/office/drawing/2014/main" id="{D0CFE919-3CA4-C0E7-FFD5-3D6AFE29209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55245</xdr:colOff>
      <xdr:row>3</xdr:row>
      <xdr:rowOff>169545</xdr:rowOff>
    </xdr:from>
    <xdr:to>
      <xdr:col>9</xdr:col>
      <xdr:colOff>74295</xdr:colOff>
      <xdr:row>52</xdr:row>
      <xdr:rowOff>0</xdr:rowOff>
    </xdr:to>
    <xdr:graphicFrame macro="">
      <xdr:nvGraphicFramePr>
        <xdr:cNvPr id="2" name="Chart 1">
          <a:extLst>
            <a:ext uri="{FF2B5EF4-FFF2-40B4-BE49-F238E27FC236}">
              <a16:creationId xmlns:a16="http://schemas.microsoft.com/office/drawing/2014/main" id="{7C35D861-A383-4458-B6FB-0FC98B000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133349</xdr:colOff>
      <xdr:row>21</xdr:row>
      <xdr:rowOff>79058</xdr:rowOff>
    </xdr:from>
    <xdr:to>
      <xdr:col>25</xdr:col>
      <xdr:colOff>17144</xdr:colOff>
      <xdr:row>36</xdr:row>
      <xdr:rowOff>79058</xdr:rowOff>
    </xdr:to>
    <xdr:graphicFrame macro="">
      <xdr:nvGraphicFramePr>
        <xdr:cNvPr id="4" name="Chart 3">
          <a:extLst>
            <a:ext uri="{FF2B5EF4-FFF2-40B4-BE49-F238E27FC236}">
              <a16:creationId xmlns:a16="http://schemas.microsoft.com/office/drawing/2014/main" id="{D3DFB19F-53A4-4892-BDBC-5CC3855A95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186690</xdr:colOff>
      <xdr:row>3</xdr:row>
      <xdr:rowOff>148590</xdr:rowOff>
    </xdr:from>
    <xdr:to>
      <xdr:col>13</xdr:col>
      <xdr:colOff>135255</xdr:colOff>
      <xdr:row>8</xdr:row>
      <xdr:rowOff>91440</xdr:rowOff>
    </xdr:to>
    <xdr:grpSp>
      <xdr:nvGrpSpPr>
        <xdr:cNvPr id="8" name="Group 7">
          <a:extLst>
            <a:ext uri="{FF2B5EF4-FFF2-40B4-BE49-F238E27FC236}">
              <a16:creationId xmlns:a16="http://schemas.microsoft.com/office/drawing/2014/main" id="{03DC0BC3-9290-32A3-D3DB-A9644BC0EDFB}"/>
            </a:ext>
          </a:extLst>
        </xdr:cNvPr>
        <xdr:cNvGrpSpPr/>
      </xdr:nvGrpSpPr>
      <xdr:grpSpPr>
        <a:xfrm>
          <a:off x="5673090" y="701040"/>
          <a:ext cx="2383155" cy="851535"/>
          <a:chOff x="10096500" y="4314825"/>
          <a:chExt cx="2373630" cy="840105"/>
        </a:xfrm>
      </xdr:grpSpPr>
      <xdr:sp macro="" textlink="">
        <xdr:nvSpPr>
          <xdr:cNvPr id="7" name="Rectangle: Rounded Corners 6">
            <a:extLst>
              <a:ext uri="{FF2B5EF4-FFF2-40B4-BE49-F238E27FC236}">
                <a16:creationId xmlns:a16="http://schemas.microsoft.com/office/drawing/2014/main" id="{58957742-2CDB-2CAE-1575-A95CA1BEB76E}"/>
              </a:ext>
            </a:extLst>
          </xdr:cNvPr>
          <xdr:cNvSpPr/>
        </xdr:nvSpPr>
        <xdr:spPr>
          <a:xfrm>
            <a:off x="10096500" y="4314825"/>
            <a:ext cx="2373630" cy="84010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kern="1200"/>
              <a:t>Daily Total Revenue</a:t>
            </a:r>
          </a:p>
        </xdr:txBody>
      </xdr:sp>
      <xdr:sp macro="" textlink="'Daily Sales'!N23">
        <xdr:nvSpPr>
          <xdr:cNvPr id="6" name="TextBox 5">
            <a:extLst>
              <a:ext uri="{FF2B5EF4-FFF2-40B4-BE49-F238E27FC236}">
                <a16:creationId xmlns:a16="http://schemas.microsoft.com/office/drawing/2014/main" id="{E3EB63E7-D97D-EB78-57B6-BDBDA834B909}"/>
              </a:ext>
            </a:extLst>
          </xdr:cNvPr>
          <xdr:cNvSpPr txBox="1"/>
        </xdr:nvSpPr>
        <xdr:spPr>
          <a:xfrm>
            <a:off x="10277528" y="4642996"/>
            <a:ext cx="2002155" cy="253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347386-A0C8-400E-A476-875CA3819E11}" type="TxLink">
              <a:rPr lang="en-US" sz="1800" b="1" i="0" u="none" strike="noStrike" kern="1200">
                <a:solidFill>
                  <a:srgbClr val="000000"/>
                </a:solidFill>
                <a:latin typeface="Calibri"/>
                <a:ea typeface="Calibri"/>
                <a:cs typeface="Calibri"/>
              </a:rPr>
              <a:pPr algn="ctr"/>
              <a:t> $130.00 </a:t>
            </a:fld>
            <a:endParaRPr lang="en-US" sz="1800" b="1" kern="1200"/>
          </a:p>
        </xdr:txBody>
      </xdr:sp>
    </xdr:grpSp>
    <xdr:clientData/>
  </xdr:twoCellAnchor>
  <xdr:twoCellAnchor>
    <xdr:from>
      <xdr:col>13</xdr:col>
      <xdr:colOff>205740</xdr:colOff>
      <xdr:row>3</xdr:row>
      <xdr:rowOff>148590</xdr:rowOff>
    </xdr:from>
    <xdr:to>
      <xdr:col>17</xdr:col>
      <xdr:colOff>160020</xdr:colOff>
      <xdr:row>8</xdr:row>
      <xdr:rowOff>93345</xdr:rowOff>
    </xdr:to>
    <xdr:grpSp>
      <xdr:nvGrpSpPr>
        <xdr:cNvPr id="3" name="Group 2">
          <a:extLst>
            <a:ext uri="{FF2B5EF4-FFF2-40B4-BE49-F238E27FC236}">
              <a16:creationId xmlns:a16="http://schemas.microsoft.com/office/drawing/2014/main" id="{665C6D0F-7683-4DDC-84F3-A9A54E847760}"/>
            </a:ext>
          </a:extLst>
        </xdr:cNvPr>
        <xdr:cNvGrpSpPr/>
      </xdr:nvGrpSpPr>
      <xdr:grpSpPr>
        <a:xfrm>
          <a:off x="8134350" y="701040"/>
          <a:ext cx="2390775" cy="853440"/>
          <a:chOff x="10096500" y="4314825"/>
          <a:chExt cx="2373630" cy="840105"/>
        </a:xfrm>
      </xdr:grpSpPr>
      <xdr:sp macro="" textlink="">
        <xdr:nvSpPr>
          <xdr:cNvPr id="5" name="Rectangle: Rounded Corners 4">
            <a:extLst>
              <a:ext uri="{FF2B5EF4-FFF2-40B4-BE49-F238E27FC236}">
                <a16:creationId xmlns:a16="http://schemas.microsoft.com/office/drawing/2014/main" id="{A36C150F-7ACD-487B-981E-D8BA45FA6A8C}"/>
              </a:ext>
            </a:extLst>
          </xdr:cNvPr>
          <xdr:cNvSpPr/>
        </xdr:nvSpPr>
        <xdr:spPr>
          <a:xfrm>
            <a:off x="10096500" y="4314825"/>
            <a:ext cx="2373630" cy="84010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kern="1200"/>
              <a:t>Daily Items Tracker</a:t>
            </a:r>
          </a:p>
        </xdr:txBody>
      </xdr:sp>
      <xdr:sp macro="" textlink="'Daily Sales'!N24">
        <xdr:nvSpPr>
          <xdr:cNvPr id="9" name="TextBox 8">
            <a:extLst>
              <a:ext uri="{FF2B5EF4-FFF2-40B4-BE49-F238E27FC236}">
                <a16:creationId xmlns:a16="http://schemas.microsoft.com/office/drawing/2014/main" id="{177251EB-F3C8-AE64-5C87-E1875A0B9C02}"/>
              </a:ext>
            </a:extLst>
          </xdr:cNvPr>
          <xdr:cNvSpPr txBox="1"/>
        </xdr:nvSpPr>
        <xdr:spPr>
          <a:xfrm>
            <a:off x="10296449" y="4643124"/>
            <a:ext cx="2002155" cy="253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169FD2-DDD3-44C8-B60E-9B3DABCCE8EB}" type="TxLink">
              <a:rPr lang="en-US" sz="1800" b="1" i="0" u="none" strike="noStrike" kern="1200">
                <a:solidFill>
                  <a:srgbClr val="000000"/>
                </a:solidFill>
                <a:latin typeface="Calibri"/>
                <a:ea typeface="Calibri"/>
                <a:cs typeface="Calibri"/>
              </a:rPr>
              <a:t>3</a:t>
            </a:fld>
            <a:endParaRPr lang="en-US" sz="1800" b="1" kern="1200"/>
          </a:p>
        </xdr:txBody>
      </xdr:sp>
    </xdr:grpSp>
    <xdr:clientData/>
  </xdr:twoCellAnchor>
  <xdr:twoCellAnchor>
    <xdr:from>
      <xdr:col>9</xdr:col>
      <xdr:colOff>131443</xdr:colOff>
      <xdr:row>36</xdr:row>
      <xdr:rowOff>120968</xdr:rowOff>
    </xdr:from>
    <xdr:to>
      <xdr:col>25</xdr:col>
      <xdr:colOff>19049</xdr:colOff>
      <xdr:row>51</xdr:row>
      <xdr:rowOff>180023</xdr:rowOff>
    </xdr:to>
    <xdr:graphicFrame macro="">
      <xdr:nvGraphicFramePr>
        <xdr:cNvPr id="10" name="Chart 9">
          <a:extLst>
            <a:ext uri="{FF2B5EF4-FFF2-40B4-BE49-F238E27FC236}">
              <a16:creationId xmlns:a16="http://schemas.microsoft.com/office/drawing/2014/main" id="{B9E83DF2-332B-4515-988B-5D9B058D7D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15240</xdr:colOff>
      <xdr:row>3</xdr:row>
      <xdr:rowOff>163830</xdr:rowOff>
    </xdr:from>
    <xdr:to>
      <xdr:col>24</xdr:col>
      <xdr:colOff>571500</xdr:colOff>
      <xdr:row>8</xdr:row>
      <xdr:rowOff>93345</xdr:rowOff>
    </xdr:to>
    <xdr:grpSp>
      <xdr:nvGrpSpPr>
        <xdr:cNvPr id="11" name="Group 10">
          <a:extLst>
            <a:ext uri="{FF2B5EF4-FFF2-40B4-BE49-F238E27FC236}">
              <a16:creationId xmlns:a16="http://schemas.microsoft.com/office/drawing/2014/main" id="{362C5826-5D2B-411C-8BB3-91CC6B259BD1}"/>
            </a:ext>
          </a:extLst>
        </xdr:cNvPr>
        <xdr:cNvGrpSpPr/>
      </xdr:nvGrpSpPr>
      <xdr:grpSpPr>
        <a:xfrm>
          <a:off x="12820650" y="720090"/>
          <a:ext cx="2381250" cy="834390"/>
          <a:chOff x="10096500" y="4314825"/>
          <a:chExt cx="2373630" cy="840105"/>
        </a:xfrm>
      </xdr:grpSpPr>
      <xdr:sp macro="" textlink="">
        <xdr:nvSpPr>
          <xdr:cNvPr id="12" name="Rectangle: Rounded Corners 11">
            <a:extLst>
              <a:ext uri="{FF2B5EF4-FFF2-40B4-BE49-F238E27FC236}">
                <a16:creationId xmlns:a16="http://schemas.microsoft.com/office/drawing/2014/main" id="{DD015879-1F24-EFC6-BE47-E1F9EAD5C4A5}"/>
              </a:ext>
            </a:extLst>
          </xdr:cNvPr>
          <xdr:cNvSpPr/>
        </xdr:nvSpPr>
        <xdr:spPr>
          <a:xfrm>
            <a:off x="10096500" y="4314825"/>
            <a:ext cx="2373630" cy="84010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kern="1200"/>
              <a:t>Date</a:t>
            </a:r>
          </a:p>
        </xdr:txBody>
      </xdr:sp>
      <xdr:sp macro="" textlink="'Daily Sales'!N25">
        <xdr:nvSpPr>
          <xdr:cNvPr id="13" name="TextBox 12">
            <a:extLst>
              <a:ext uri="{FF2B5EF4-FFF2-40B4-BE49-F238E27FC236}">
                <a16:creationId xmlns:a16="http://schemas.microsoft.com/office/drawing/2014/main" id="{9DFD4262-0738-D11B-30FD-B693C0A6664D}"/>
              </a:ext>
            </a:extLst>
          </xdr:cNvPr>
          <xdr:cNvSpPr txBox="1"/>
        </xdr:nvSpPr>
        <xdr:spPr>
          <a:xfrm>
            <a:off x="10287000" y="4613908"/>
            <a:ext cx="2002155" cy="408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3CC1F9-C746-4D50-98A5-02D8D8AB65B4}" type="TxLink">
              <a:rPr lang="en-US" sz="1800" b="1" i="0" u="none" strike="noStrike" kern="1200">
                <a:solidFill>
                  <a:srgbClr val="000000"/>
                </a:solidFill>
                <a:latin typeface="Calibri"/>
                <a:ea typeface="Calibri"/>
                <a:cs typeface="Calibri"/>
              </a:rPr>
              <a:t>1/8/2025</a:t>
            </a:fld>
            <a:endParaRPr lang="en-US" sz="1800" b="1" i="0" u="none" strike="noStrike" kern="1200">
              <a:solidFill>
                <a:srgbClr val="000000"/>
              </a:solidFill>
              <a:latin typeface="Calibri"/>
              <a:ea typeface="Calibri"/>
              <a:cs typeface="Calibri"/>
            </a:endParaRPr>
          </a:p>
        </xdr:txBody>
      </xdr:sp>
    </xdr:grpSp>
    <xdr:clientData/>
  </xdr:twoCellAnchor>
  <xdr:twoCellAnchor>
    <xdr:from>
      <xdr:col>25</xdr:col>
      <xdr:colOff>62865</xdr:colOff>
      <xdr:row>4</xdr:row>
      <xdr:rowOff>47625</xdr:rowOff>
    </xdr:from>
    <xdr:to>
      <xdr:col>31</xdr:col>
      <xdr:colOff>504825</xdr:colOff>
      <xdr:row>51</xdr:row>
      <xdr:rowOff>163830</xdr:rowOff>
    </xdr:to>
    <xdr:graphicFrame macro="">
      <xdr:nvGraphicFramePr>
        <xdr:cNvPr id="14" name="Chart 13">
          <a:extLst>
            <a:ext uri="{FF2B5EF4-FFF2-40B4-BE49-F238E27FC236}">
              <a16:creationId xmlns:a16="http://schemas.microsoft.com/office/drawing/2014/main" id="{1B543595-D77F-44AD-B498-754220C90B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142875</xdr:colOff>
      <xdr:row>9</xdr:row>
      <xdr:rowOff>97157</xdr:rowOff>
    </xdr:from>
    <xdr:to>
      <xdr:col>24</xdr:col>
      <xdr:colOff>590550</xdr:colOff>
      <xdr:row>21</xdr:row>
      <xdr:rowOff>0</xdr:rowOff>
    </xdr:to>
    <mc:AlternateContent xmlns:mc="http://schemas.openxmlformats.org/markup-compatibility/2006">
      <mc:Choice xmlns:a14="http://schemas.microsoft.com/office/drawing/2010/main" Requires="a14">
        <xdr:graphicFrame macro="">
          <xdr:nvGraphicFramePr>
            <xdr:cNvPr id="18" name="Date">
              <a:extLst>
                <a:ext uri="{FF2B5EF4-FFF2-40B4-BE49-F238E27FC236}">
                  <a16:creationId xmlns:a16="http://schemas.microsoft.com/office/drawing/2014/main" id="{E07483A5-E8D8-5698-5D0B-4FACD50D2622}"/>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5627370" y="1731647"/>
              <a:ext cx="9589770" cy="2078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ptop" refreshedDate="45665.838857523151" createdVersion="8" refreshedVersion="8" minRefreshableVersion="3" recordCount="10" xr:uid="{AE8D1B1E-EE21-4090-90DB-68AEE5FD9068}">
  <cacheSource type="worksheet">
    <worksheetSource ref="A1:B1048576" sheet="Inventory"/>
  </cacheSource>
  <cacheFields count="2">
    <cacheField name="Item_Name" numFmtId="0">
      <sharedItems containsBlank="1" count="9">
        <s v="Tomatoes"/>
        <s v="Cucumbers"/>
        <s v="Apples"/>
        <s v="Oranges"/>
        <s v="Milk"/>
        <s v="Eggs (Dozen)"/>
        <s v="Wheat"/>
        <s v="Corn"/>
        <m/>
      </sharedItems>
    </cacheField>
    <cacheField name="currentStock" numFmtId="0">
      <sharedItems containsString="0" containsBlank="1" containsNumber="1" containsInteger="1" minValue="0" maxValue="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ptop" refreshedDate="45665.851786689818" createdVersion="8" refreshedVersion="8" minRefreshableVersion="3" recordCount="0" supportSubquery="1" supportAdvancedDrill="1" xr:uid="{461D038B-12BD-401A-8D68-B873119943FE}">
  <cacheSource type="external" connectionId="1"/>
  <cacheFields count="6">
    <cacheField name="[Sales].[Item_Name].[Item_Name]" caption="Item_Name" numFmtId="0" hierarchy="17" level="1">
      <sharedItems count="5">
        <s v="Apples"/>
        <s v="Corn"/>
        <s v="Cucumbers"/>
        <s v="Milk"/>
        <s v="Oranges"/>
      </sharedItems>
    </cacheField>
    <cacheField name="[Measures].[Sum of Quantity Sold.]" caption="Sum of Quantity Sold." numFmtId="0" hierarchy="27" level="32767"/>
    <cacheField name="[Sales].[Dates].[Year]" caption="Year" numFmtId="0" hierarchy="15" level="1">
      <sharedItems containsSemiMixedTypes="0" containsNonDate="0" containsString="0"/>
    </cacheField>
    <cacheField name="[Sales].[Dates].[Month]" caption="Month" numFmtId="0" hierarchy="15" level="2">
      <sharedItems containsSemiMixedTypes="0" containsNonDate="0" containsString="0"/>
    </cacheField>
    <cacheField name="[Sales].[Dates].[Day]" caption="Day" numFmtId="0" hierarchy="15" level="3">
      <sharedItems containsSemiMixedTypes="0" containsNonDate="0" containsString="0"/>
    </cacheField>
    <cacheField name="[Sales].[Test].[Test]" caption="Test" numFmtId="0" hierarchy="22" level="1">
      <sharedItems containsSemiMixedTypes="0" containsNonDate="0" containsString="0"/>
    </cacheField>
  </cacheFields>
  <cacheHierarchies count="29">
    <cacheHierarchy uniqueName="[Exp].[Date]" caption="Date" attribute="1" time="1" defaultMemberUniqueName="[Exp].[Date].[All]" allUniqueName="[Exp].[Date].[All]" dimensionUniqueName="[Exp]" displayFolder="" count="0" memberValueDatatype="7" unbalanced="0"/>
    <cacheHierarchy uniqueName="[Exp].[Expense Category]" caption="Expense Category" attribute="1" defaultMemberUniqueName="[Exp].[Expense Category].[All]" allUniqueName="[Exp].[Expense Category].[All]" dimensionUniqueName="[Exp]" displayFolder="" count="0" memberValueDatatype="130" unbalanced="0"/>
    <cacheHierarchy uniqueName="[Exp].[Description]" caption="Description" attribute="1" defaultMemberUniqueName="[Exp].[Description].[All]" allUniqueName="[Exp].[Description].[All]" dimensionUniqueName="[Exp]" displayFolder="" count="0" memberValueDatatype="130" unbalanced="0"/>
    <cacheHierarchy uniqueName="[Exp].[Amount]" caption="Amount" attribute="1" defaultMemberUniqueName="[Exp].[Amount].[All]" allUniqueName="[Exp].[Amount].[All]" dimensionUniqueName="[Exp]" displayFolder="" count="0" memberValueDatatype="5" unbalanced="0"/>
    <cacheHierarchy uniqueName="[Exp].[Payment Method]" caption="Payment Method" attribute="1" defaultMemberUniqueName="[Exp].[Payment Method].[All]" allUniqueName="[Exp].[Payment Method].[All]" dimensionUniqueName="[Exp]" displayFolder="" count="0" memberValueDatatype="130" unbalanced="0"/>
    <cacheHierarchy uniqueName="[Exp].[Vendor/Supplier]" caption="Vendor/Supplier" attribute="1" defaultMemberUniqueName="[Exp].[Vendor/Supplier].[All]" allUniqueName="[Exp].[Vendor/Supplier].[All]" dimensionUniqueName="[Exp]" displayFolder="" count="0" memberValueDatatype="130" unbalanced="0"/>
    <cacheHierarchy uniqueName="[Exp].[Notes]" caption="Notes" attribute="1" defaultMemberUniqueName="[Exp].[Notes].[All]" allUniqueName="[Exp].[Notes].[All]" dimensionUniqueName="[Exp]" displayFolder="" count="0" memberValueDatatype="130" unbalanced="0"/>
    <cacheHierarchy uniqueName="[Range].[Sales_ID]" caption="Sales_ID" attribute="1" defaultMemberUniqueName="[Range].[Sales_ID].[All]" allUniqueName="[Range].[Sales_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Item_Name]" caption="Item_Name" attribute="1" defaultMemberUniqueName="[Range].[Item_Name].[All]" allUniqueName="[Range].[Item_Name].[All]" dimensionUniqueName="[Range]" displayFolder="" count="0" memberValueDatatype="130" unbalanced="0"/>
    <cacheHierarchy uniqueName="[Range].[Quantity Sold.]" caption="Quantity Sold." attribute="1" defaultMemberUniqueName="[Range].[Quantity Sold.].[All]" allUniqueName="[Range].[Quantity Sold.].[All]" dimensionUniqueName="[Range]" displayFolder="" count="0" memberValueDatatype="20" unbalanced="0"/>
    <cacheHierarchy uniqueName="[Range].[Year]" caption="Year" attribute="1" defaultMemberUniqueName="[Range].[Year].[All]" allUniqueName="[Range].[Year].[All]" dimensionUniqueName="[Range]" displayFolder="" count="0" memberValueDatatype="20" unbalanced="0"/>
    <cacheHierarchy uniqueName="[Range].[Month]" caption="Month" attribute="1" defaultMemberUniqueName="[Range].[Month].[All]" allUniqueName="[Range].[Month].[All]" dimensionUniqueName="[Range]" displayFolder="" count="0" memberValueDatatype="20" unbalanced="0"/>
    <cacheHierarchy uniqueName="[Range].[Day]" caption="Day" attribute="1" defaultMemberUniqueName="[Range].[Day].[All]" allUniqueName="[Range].[Day].[All]" dimensionUniqueName="[Range]" displayFolder="" count="0" memberValueDatatype="20" unbalanced="0"/>
    <cacheHierarchy uniqueName="[Sales].[Sales_ID]" caption="Sales_ID" attribute="1" defaultMemberUniqueName="[Sales].[Sales_ID].[All]" allUniqueName="[Sales].[Sales_ID].[All]" dimensionUniqueName="[Sales]" displayFolder="" count="0" memberValueDatatype="130" unbalanced="0"/>
    <cacheHierarchy uniqueName="[Sales].[Dates]" caption="Dates" defaultMemberUniqueName="[Sales].[Dates].[All]" allUniqueName="[Sales].[Dates].[All]" dimensionUniqueName="[Sales]" displayFolder="" count="4" unbalanced="0">
      <fieldsUsage count="4">
        <fieldUsage x="-1"/>
        <fieldUsage x="2"/>
        <fieldUsage x="3"/>
        <fieldUsage x="4"/>
      </fieldsUsage>
    </cacheHierarchy>
    <cacheHierarchy uniqueName="[Sales].[Date]" caption="Date" attribute="1" time="1" defaultMemberUniqueName="[Sales].[Date].[All]" allUniqueName="[Sales].[Date].[All]" dimensionUniqueName="[Sales]" displayFolder="" count="0" memberValueDatatype="7" unbalanced="0"/>
    <cacheHierarchy uniqueName="[Sales].[Item_Name]" caption="Item_Name" attribute="1" defaultMemberUniqueName="[Sales].[Item_Name].[All]" allUniqueName="[Sales].[Item_Name].[All]" dimensionUniqueName="[Sales]" displayFolder="" count="2" memberValueDatatype="130" unbalanced="0">
      <fieldsUsage count="2">
        <fieldUsage x="-1"/>
        <fieldUsage x="0"/>
      </fieldsUsage>
    </cacheHierarchy>
    <cacheHierarchy uniqueName="[Sales].[Quantity Sold.]" caption="Quantity Sold." attribute="1" defaultMemberUniqueName="[Sales].[Quantity Sold.].[All]" allUniqueName="[Sales].[Quantity Sold.].[All]" dimensionUniqueName="[Sales]" displayFolder="" count="0" memberValueDatatype="20"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Test]" caption="Test" attribute="1" defaultMemberUniqueName="[Sales].[Test].[All]" allUniqueName="[Sales].[Test].[All]" dimensionUniqueName="[Sales]" displayFolder="" count="2" memberValueDatatype="130" unbalanced="0">
      <fieldsUsage count="2">
        <fieldUsage x="-1"/>
        <fieldUsage x="5"/>
      </fieldsUsage>
    </cacheHierarchy>
    <cacheHierarchy uniqueName="[Measures].[__XL_Count Table3]" caption="__XL_Count Table3" measure="1" displayFolder="" measureGroup="Sales" count="0" hidden="1"/>
    <cacheHierarchy uniqueName="[Measures].[__XL_Count Range]" caption="__XL_Count Range" measure="1" displayFolder="" measureGroup="Range" count="0" hidden="1"/>
    <cacheHierarchy uniqueName="[Measures].[__XL_Count Table1]" caption="__XL_Count Table1" measure="1" displayFolder="" measureGroup="Exp" count="0" hidden="1"/>
    <cacheHierarchy uniqueName="[Measures].[__No measures defined]" caption="__No measures defined" measure="1" displayFolder="" count="0" hidden="1"/>
    <cacheHierarchy uniqueName="[Measures].[Sum of Quantity Sold.]" caption="Sum of Quantity Sold." measure="1" displayFolder="" measureGroup="Sale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Amount]" caption="Sum of Amount" measure="1" displayFolder="" measureGroup="Exp" count="0" hidden="1">
      <extLst>
        <ext xmlns:x15="http://schemas.microsoft.com/office/spreadsheetml/2010/11/main" uri="{B97F6D7D-B522-45F9-BDA1-12C45D357490}">
          <x15:cacheHierarchy aggregatedColumn="3"/>
        </ext>
      </extLst>
    </cacheHierarchy>
  </cacheHierarchies>
  <kpis count="0"/>
  <dimensions count="4">
    <dimension name="Exp" uniqueName="[Exp]" caption="Exp"/>
    <dimension measure="1" name="Measures" uniqueName="[Measures]" caption="Measures"/>
    <dimension name="Range" uniqueName="[Range]" caption="Range"/>
    <dimension name="Sales" uniqueName="[Sales]" caption="Sales"/>
  </dimensions>
  <measureGroups count="3">
    <measureGroup name="Exp" caption="Exp"/>
    <measureGroup name="Range" caption="Range"/>
    <measureGroup name="Sales" caption="Sales"/>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ptop" refreshedDate="45665.851787268519" createdVersion="5" refreshedVersion="8" minRefreshableVersion="3" recordCount="0" supportSubquery="1" supportAdvancedDrill="1" xr:uid="{33D46C00-DAC0-4574-83F0-C9DDB88A4577}">
  <cacheSource type="external" connectionId="1"/>
  <cacheFields count="5">
    <cacheField name="[Sales].[Dates].[Year]" caption="Year" numFmtId="0" hierarchy="15" level="1">
      <sharedItems containsSemiMixedTypes="0" containsString="0" containsNumber="1" containsInteger="1" minValue="2024" maxValue="2025" count="2">
        <n v="2024"/>
        <n v="2025"/>
      </sharedItems>
      <extLst>
        <ext xmlns:x15="http://schemas.microsoft.com/office/spreadsheetml/2010/11/main" uri="{4F2E5C28-24EA-4eb8-9CBF-B6C8F9C3D259}">
          <x15:cachedUniqueNames>
            <x15:cachedUniqueName index="0" name="[Sales].[Dates].[Year].&amp;[2024]"/>
            <x15:cachedUniqueName index="1" name="[Sales].[Dates].[Year].&amp;[2025]"/>
          </x15:cachedUniqueNames>
        </ext>
      </extLst>
    </cacheField>
    <cacheField name="[Sales].[Dates].[Month]" caption="Month" numFmtId="0" hierarchy="15" level="2">
      <sharedItems containsSemiMixedTypes="0" containsString="0" containsNumber="1" containsInteger="1" minValue="1" maxValue="3" count="4">
        <n v="2"/>
        <n v="1"/>
        <n v="2"/>
        <n v="3"/>
      </sharedItems>
      <extLst>
        <ext xmlns:x15="http://schemas.microsoft.com/office/spreadsheetml/2010/11/main" uri="{4F2E5C28-24EA-4eb8-9CBF-B6C8F9C3D259}">
          <x15:cachedUniqueNames>
            <x15:cachedUniqueName index="0" name="[Sales].[Dates].[Year].&amp;[2024].&amp;[2]"/>
            <x15:cachedUniqueName index="1" name="[Sales].[Dates].[Year].&amp;[2025].&amp;[1]"/>
            <x15:cachedUniqueName index="2" name="[Sales].[Dates].[Year].&amp;[2025].&amp;[2]"/>
            <x15:cachedUniqueName index="3" name="[Sales].[Dates].[Year].&amp;[2025].&amp;[3]"/>
          </x15:cachedUniqueNames>
        </ext>
      </extLst>
    </cacheField>
    <cacheField name="[Sales].[Dates].[Day]" caption="Day" numFmtId="0" hierarchy="15" level="3">
      <sharedItems containsSemiMixedTypes="0" containsNonDate="0" containsString="0"/>
    </cacheField>
    <cacheField name="[Measures].[Sum of Quantity Sold.]" caption="Sum of Quantity Sold." numFmtId="0" hierarchy="27" level="32767"/>
    <cacheField name="[Sales].[Test].[Test]" caption="Test" numFmtId="0" hierarchy="22" level="1">
      <sharedItems containsSemiMixedTypes="0" containsNonDate="0" containsString="0"/>
    </cacheField>
  </cacheFields>
  <cacheHierarchies count="29">
    <cacheHierarchy uniqueName="[Exp].[Date]" caption="Date" attribute="1" time="1" defaultMemberUniqueName="[Exp].[Date].[All]" allUniqueName="[Exp].[Date].[All]" dimensionUniqueName="[Exp]" displayFolder="" count="0" memberValueDatatype="7" unbalanced="0"/>
    <cacheHierarchy uniqueName="[Exp].[Expense Category]" caption="Expense Category" attribute="1" defaultMemberUniqueName="[Exp].[Expense Category].[All]" allUniqueName="[Exp].[Expense Category].[All]" dimensionUniqueName="[Exp]" displayFolder="" count="0" memberValueDatatype="130" unbalanced="0"/>
    <cacheHierarchy uniqueName="[Exp].[Description]" caption="Description" attribute="1" defaultMemberUniqueName="[Exp].[Description].[All]" allUniqueName="[Exp].[Description].[All]" dimensionUniqueName="[Exp]" displayFolder="" count="0" memberValueDatatype="130" unbalanced="0"/>
    <cacheHierarchy uniqueName="[Exp].[Amount]" caption="Amount" attribute="1" defaultMemberUniqueName="[Exp].[Amount].[All]" allUniqueName="[Exp].[Amount].[All]" dimensionUniqueName="[Exp]" displayFolder="" count="0" memberValueDatatype="5" unbalanced="0"/>
    <cacheHierarchy uniqueName="[Exp].[Payment Method]" caption="Payment Method" attribute="1" defaultMemberUniqueName="[Exp].[Payment Method].[All]" allUniqueName="[Exp].[Payment Method].[All]" dimensionUniqueName="[Exp]" displayFolder="" count="0" memberValueDatatype="130" unbalanced="0"/>
    <cacheHierarchy uniqueName="[Exp].[Vendor/Supplier]" caption="Vendor/Supplier" attribute="1" defaultMemberUniqueName="[Exp].[Vendor/Supplier].[All]" allUniqueName="[Exp].[Vendor/Supplier].[All]" dimensionUniqueName="[Exp]" displayFolder="" count="0" memberValueDatatype="130" unbalanced="0"/>
    <cacheHierarchy uniqueName="[Exp].[Notes]" caption="Notes" attribute="1" defaultMemberUniqueName="[Exp].[Notes].[All]" allUniqueName="[Exp].[Notes].[All]" dimensionUniqueName="[Exp]" displayFolder="" count="0" memberValueDatatype="130" unbalanced="0"/>
    <cacheHierarchy uniqueName="[Range].[Sales_ID]" caption="Sales_ID" attribute="1" defaultMemberUniqueName="[Range].[Sales_ID].[All]" allUniqueName="[Range].[Sales_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Item_Name]" caption="Item_Name" attribute="1" defaultMemberUniqueName="[Range].[Item_Name].[All]" allUniqueName="[Range].[Item_Name].[All]" dimensionUniqueName="[Range]" displayFolder="" count="0" memberValueDatatype="130" unbalanced="0"/>
    <cacheHierarchy uniqueName="[Range].[Quantity Sold.]" caption="Quantity Sold." attribute="1" defaultMemberUniqueName="[Range].[Quantity Sold.].[All]" allUniqueName="[Range].[Quantity Sold.].[All]" dimensionUniqueName="[Range]" displayFolder="" count="0" memberValueDatatype="20" unbalanced="0"/>
    <cacheHierarchy uniqueName="[Range].[Year]" caption="Year" attribute="1" defaultMemberUniqueName="[Range].[Year].[All]" allUniqueName="[Range].[Year].[All]" dimensionUniqueName="[Range]" displayFolder="" count="0" memberValueDatatype="20" unbalanced="0"/>
    <cacheHierarchy uniqueName="[Range].[Month]" caption="Month" attribute="1" defaultMemberUniqueName="[Range].[Month].[All]" allUniqueName="[Range].[Month].[All]" dimensionUniqueName="[Range]" displayFolder="" count="0" memberValueDatatype="20" unbalanced="0"/>
    <cacheHierarchy uniqueName="[Range].[Day]" caption="Day" attribute="1" defaultMemberUniqueName="[Range].[Day].[All]" allUniqueName="[Range].[Day].[All]" dimensionUniqueName="[Range]" displayFolder="" count="0" memberValueDatatype="20" unbalanced="0"/>
    <cacheHierarchy uniqueName="[Sales].[Sales_ID]" caption="Sales_ID" attribute="1" defaultMemberUniqueName="[Sales].[Sales_ID].[All]" allUniqueName="[Sales].[Sales_ID].[All]" dimensionUniqueName="[Sales]" displayFolder="" count="0" memberValueDatatype="130" unbalanced="0"/>
    <cacheHierarchy uniqueName="[Sales].[Dates]" caption="Dates" defaultMemberUniqueName="[Sales].[Dates].[All]" allUniqueName="[Sales].[Dates].[All]" dimensionUniqueName="[Sales]" displayFolder="" count="4" unbalanced="0">
      <fieldsUsage count="4">
        <fieldUsage x="-1"/>
        <fieldUsage x="0"/>
        <fieldUsage x="1"/>
        <fieldUsage x="2"/>
      </fieldsUsage>
    </cacheHierarchy>
    <cacheHierarchy uniqueName="[Sales].[Date]" caption="Date" attribute="1" time="1" defaultMemberUniqueName="[Sales].[Date].[All]" allUniqueName="[Sales].[Date].[All]" dimensionUniqueName="[Sales]" displayFolder="" count="0" memberValueDatatype="7" unbalanced="0"/>
    <cacheHierarchy uniqueName="[Sales].[Item_Name]" caption="Item_Name" attribute="1" defaultMemberUniqueName="[Sales].[Item_Name].[All]" allUniqueName="[Sales].[Item_Name].[All]" dimensionUniqueName="[Sales]" displayFolder="" count="0" memberValueDatatype="130" unbalanced="0"/>
    <cacheHierarchy uniqueName="[Sales].[Quantity Sold.]" caption="Quantity Sold." attribute="1" defaultMemberUniqueName="[Sales].[Quantity Sold.].[All]" allUniqueName="[Sales].[Quantity Sold.].[All]" dimensionUniqueName="[Sales]" displayFolder="" count="0" memberValueDatatype="20"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Test]" caption="Test" attribute="1" defaultMemberUniqueName="[Sales].[Test].[All]" allUniqueName="[Sales].[Test].[All]" dimensionUniqueName="[Sales]" displayFolder="" count="2" memberValueDatatype="130" unbalanced="0">
      <fieldsUsage count="2">
        <fieldUsage x="-1"/>
        <fieldUsage x="4"/>
      </fieldsUsage>
    </cacheHierarchy>
    <cacheHierarchy uniqueName="[Measures].[__XL_Count Table3]" caption="__XL_Count Table3" measure="1" displayFolder="" measureGroup="Sales" count="0" hidden="1"/>
    <cacheHierarchy uniqueName="[Measures].[__XL_Count Range]" caption="__XL_Count Range" measure="1" displayFolder="" measureGroup="Range" count="0" hidden="1"/>
    <cacheHierarchy uniqueName="[Measures].[__XL_Count Table1]" caption="__XL_Count Table1" measure="1" displayFolder="" measureGroup="Exp" count="0" hidden="1"/>
    <cacheHierarchy uniqueName="[Measures].[__No measures defined]" caption="__No measures defined" measure="1" displayFolder="" count="0" hidden="1"/>
    <cacheHierarchy uniqueName="[Measures].[Sum of Quantity Sold.]" caption="Sum of Quantity Sold." measure="1" displayFolder="" measureGroup="Sales" count="0" oneField="1" hidden="1">
      <fieldsUsage count="1">
        <fieldUsage x="3"/>
      </fieldsUsage>
      <extLst>
        <ext xmlns:x15="http://schemas.microsoft.com/office/spreadsheetml/2010/11/main" uri="{B97F6D7D-B522-45F9-BDA1-12C45D357490}">
          <x15:cacheHierarchy aggregatedColumn="18"/>
        </ext>
      </extLst>
    </cacheHierarchy>
    <cacheHierarchy uniqueName="[Measures].[Sum of Amount]" caption="Sum of Amount" measure="1" displayFolder="" measureGroup="Exp" count="0" hidden="1">
      <extLst>
        <ext xmlns:x15="http://schemas.microsoft.com/office/spreadsheetml/2010/11/main" uri="{B97F6D7D-B522-45F9-BDA1-12C45D357490}">
          <x15:cacheHierarchy aggregatedColumn="3"/>
        </ext>
      </extLst>
    </cacheHierarchy>
  </cacheHierarchies>
  <kpis count="0"/>
  <dimensions count="4">
    <dimension name="Exp" uniqueName="[Exp]" caption="Exp"/>
    <dimension measure="1" name="Measures" uniqueName="[Measures]" caption="Measures"/>
    <dimension name="Range" uniqueName="[Range]" caption="Range"/>
    <dimension name="Sales" uniqueName="[Sales]" caption="Sales"/>
  </dimensions>
  <measureGroups count="3">
    <measureGroup name="Exp" caption="Exp"/>
    <measureGroup name="Range" caption="Range"/>
    <measureGroup name="Sales" caption="Sales"/>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ptop" refreshedDate="45665.851787615742" createdVersion="8" refreshedVersion="8" minRefreshableVersion="3" recordCount="0" supportSubquery="1" supportAdvancedDrill="1" xr:uid="{DB976368-6385-4069-8830-FC053AB5AED3}">
  <cacheSource type="external" connectionId="1"/>
  <cacheFields count="6">
    <cacheField name="[Exp].[Expense Category].[Expense Category]" caption="Expense Category" numFmtId="0" hierarchy="1" level="1">
      <sharedItems count="6">
        <s v="electricity"/>
        <s v="equipment"/>
        <s v="fertilizers"/>
        <s v="labor"/>
        <s v="seeds"/>
        <s v="water"/>
      </sharedItems>
    </cacheField>
    <cacheField name="[Measures].[Sum of Amount]" caption="Sum of Amount" numFmtId="0" hierarchy="28" level="32767"/>
    <cacheField name="[Sales].[Dates].[Year]" caption="Year" numFmtId="0" hierarchy="15" level="1">
      <sharedItems containsSemiMixedTypes="0" containsNonDate="0" containsString="0"/>
    </cacheField>
    <cacheField name="[Sales].[Dates].[Month]" caption="Month" numFmtId="0" hierarchy="15" level="2">
      <sharedItems containsSemiMixedTypes="0" containsNonDate="0" containsString="0"/>
    </cacheField>
    <cacheField name="[Sales].[Dates].[Day]" caption="Day" numFmtId="0" hierarchy="15" level="3">
      <sharedItems containsSemiMixedTypes="0" containsNonDate="0" containsString="0"/>
    </cacheField>
    <cacheField name="[Sales].[Test].[Test]" caption="Test" numFmtId="0" hierarchy="22" level="1">
      <sharedItems containsSemiMixedTypes="0" containsNonDate="0" containsString="0"/>
    </cacheField>
  </cacheFields>
  <cacheHierarchies count="29">
    <cacheHierarchy uniqueName="[Exp].[Date]" caption="Date" attribute="1" time="1" defaultMemberUniqueName="[Exp].[Date].[All]" allUniqueName="[Exp].[Date].[All]" dimensionUniqueName="[Exp]" displayFolder="" count="0" memberValueDatatype="7" unbalanced="0"/>
    <cacheHierarchy uniqueName="[Exp].[Expense Category]" caption="Expense Category" attribute="1" defaultMemberUniqueName="[Exp].[Expense Category].[All]" allUniqueName="[Exp].[Expense Category].[All]" dimensionUniqueName="[Exp]" displayFolder="" count="2" memberValueDatatype="130" unbalanced="0">
      <fieldsUsage count="2">
        <fieldUsage x="-1"/>
        <fieldUsage x="0"/>
      </fieldsUsage>
    </cacheHierarchy>
    <cacheHierarchy uniqueName="[Exp].[Description]" caption="Description" attribute="1" defaultMemberUniqueName="[Exp].[Description].[All]" allUniqueName="[Exp].[Description].[All]" dimensionUniqueName="[Exp]" displayFolder="" count="0" memberValueDatatype="130" unbalanced="0"/>
    <cacheHierarchy uniqueName="[Exp].[Amount]" caption="Amount" attribute="1" defaultMemberUniqueName="[Exp].[Amount].[All]" allUniqueName="[Exp].[Amount].[All]" dimensionUniqueName="[Exp]" displayFolder="" count="0" memberValueDatatype="5" unbalanced="0"/>
    <cacheHierarchy uniqueName="[Exp].[Payment Method]" caption="Payment Method" attribute="1" defaultMemberUniqueName="[Exp].[Payment Method].[All]" allUniqueName="[Exp].[Payment Method].[All]" dimensionUniqueName="[Exp]" displayFolder="" count="0" memberValueDatatype="130" unbalanced="0"/>
    <cacheHierarchy uniqueName="[Exp].[Vendor/Supplier]" caption="Vendor/Supplier" attribute="1" defaultMemberUniqueName="[Exp].[Vendor/Supplier].[All]" allUniqueName="[Exp].[Vendor/Supplier].[All]" dimensionUniqueName="[Exp]" displayFolder="" count="0" memberValueDatatype="130" unbalanced="0"/>
    <cacheHierarchy uniqueName="[Exp].[Notes]" caption="Notes" attribute="1" defaultMemberUniqueName="[Exp].[Notes].[All]" allUniqueName="[Exp].[Notes].[All]" dimensionUniqueName="[Exp]" displayFolder="" count="0" memberValueDatatype="130" unbalanced="0"/>
    <cacheHierarchy uniqueName="[Range].[Sales_ID]" caption="Sales_ID" attribute="1" defaultMemberUniqueName="[Range].[Sales_ID].[All]" allUniqueName="[Range].[Sales_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Item_Name]" caption="Item_Name" attribute="1" defaultMemberUniqueName="[Range].[Item_Name].[All]" allUniqueName="[Range].[Item_Name].[All]" dimensionUniqueName="[Range]" displayFolder="" count="0" memberValueDatatype="130" unbalanced="0"/>
    <cacheHierarchy uniqueName="[Range].[Quantity Sold.]" caption="Quantity Sold." attribute="1" defaultMemberUniqueName="[Range].[Quantity Sold.].[All]" allUniqueName="[Range].[Quantity Sold.].[All]" dimensionUniqueName="[Range]" displayFolder="" count="0" memberValueDatatype="20" unbalanced="0"/>
    <cacheHierarchy uniqueName="[Range].[Year]" caption="Year" attribute="1" defaultMemberUniqueName="[Range].[Year].[All]" allUniqueName="[Range].[Year].[All]" dimensionUniqueName="[Range]" displayFolder="" count="0" memberValueDatatype="20" unbalanced="0"/>
    <cacheHierarchy uniqueName="[Range].[Month]" caption="Month" attribute="1" defaultMemberUniqueName="[Range].[Month].[All]" allUniqueName="[Range].[Month].[All]" dimensionUniqueName="[Range]" displayFolder="" count="0" memberValueDatatype="20" unbalanced="0"/>
    <cacheHierarchy uniqueName="[Range].[Day]" caption="Day" attribute="1" defaultMemberUniqueName="[Range].[Day].[All]" allUniqueName="[Range].[Day].[All]" dimensionUniqueName="[Range]" displayFolder="" count="0" memberValueDatatype="20" unbalanced="0"/>
    <cacheHierarchy uniqueName="[Sales].[Sales_ID]" caption="Sales_ID" attribute="1" defaultMemberUniqueName="[Sales].[Sales_ID].[All]" allUniqueName="[Sales].[Sales_ID].[All]" dimensionUniqueName="[Sales]" displayFolder="" count="0" memberValueDatatype="130" unbalanced="0"/>
    <cacheHierarchy uniqueName="[Sales].[Dates]" caption="Dates" defaultMemberUniqueName="[Sales].[Dates].[All]" allUniqueName="[Sales].[Dates].[All]" dimensionUniqueName="[Sales]" displayFolder="" count="4" unbalanced="0">
      <fieldsUsage count="4">
        <fieldUsage x="-1"/>
        <fieldUsage x="2"/>
        <fieldUsage x="3"/>
        <fieldUsage x="4"/>
      </fieldsUsage>
    </cacheHierarchy>
    <cacheHierarchy uniqueName="[Sales].[Date]" caption="Date" attribute="1" time="1" defaultMemberUniqueName="[Sales].[Date].[All]" allUniqueName="[Sales].[Date].[All]" dimensionUniqueName="[Sales]" displayFolder="" count="0" memberValueDatatype="7" unbalanced="0"/>
    <cacheHierarchy uniqueName="[Sales].[Item_Name]" caption="Item_Name" attribute="1" defaultMemberUniqueName="[Sales].[Item_Name].[All]" allUniqueName="[Sales].[Item_Name].[All]" dimensionUniqueName="[Sales]" displayFolder="" count="0" memberValueDatatype="130" unbalanced="0"/>
    <cacheHierarchy uniqueName="[Sales].[Quantity Sold.]" caption="Quantity Sold." attribute="1" defaultMemberUniqueName="[Sales].[Quantity Sold.].[All]" allUniqueName="[Sales].[Quantity Sold.].[All]" dimensionUniqueName="[Sales]" displayFolder="" count="0" memberValueDatatype="20"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Test]" caption="Test" attribute="1" defaultMemberUniqueName="[Sales].[Test].[All]" allUniqueName="[Sales].[Test].[All]" dimensionUniqueName="[Sales]" displayFolder="" count="2" memberValueDatatype="130" unbalanced="0">
      <fieldsUsage count="2">
        <fieldUsage x="-1"/>
        <fieldUsage x="5"/>
      </fieldsUsage>
    </cacheHierarchy>
    <cacheHierarchy uniqueName="[Measures].[__XL_Count Table3]" caption="__XL_Count Table3" measure="1" displayFolder="" measureGroup="Sales" count="0" hidden="1"/>
    <cacheHierarchy uniqueName="[Measures].[__XL_Count Range]" caption="__XL_Count Range" measure="1" displayFolder="" measureGroup="Range" count="0" hidden="1"/>
    <cacheHierarchy uniqueName="[Measures].[__XL_Count Table1]" caption="__XL_Count Table1" measure="1" displayFolder="" measureGroup="Exp" count="0" hidden="1"/>
    <cacheHierarchy uniqueName="[Measures].[__No measures defined]" caption="__No measures defined" measure="1" displayFolder="" count="0" hidden="1"/>
    <cacheHierarchy uniqueName="[Measures].[Sum of Quantity Sold.]" caption="Sum of Quantity Sold." measure="1" displayFolder="" measureGroup="Sales" count="0" hidden="1">
      <extLst>
        <ext xmlns:x15="http://schemas.microsoft.com/office/spreadsheetml/2010/11/main" uri="{B97F6D7D-B522-45F9-BDA1-12C45D357490}">
          <x15:cacheHierarchy aggregatedColumn="18"/>
        </ext>
      </extLst>
    </cacheHierarchy>
    <cacheHierarchy uniqueName="[Measures].[Sum of Amount]" caption="Sum of Amount" measure="1" displayFolder="" measureGroup="Exp"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4">
    <dimension name="Exp" uniqueName="[Exp]" caption="Exp"/>
    <dimension measure="1" name="Measures" uniqueName="[Measures]" caption="Measures"/>
    <dimension name="Range" uniqueName="[Range]" caption="Range"/>
    <dimension name="Sales" uniqueName="[Sales]" caption="Sales"/>
  </dimensions>
  <measureGroups count="3">
    <measureGroup name="Exp" caption="Exp"/>
    <measureGroup name="Range" caption="Range"/>
    <measureGroup name="Sales" caption="Sales"/>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ptop" refreshedDate="45665.847482638892" createdVersion="3" refreshedVersion="8" minRefreshableVersion="3" recordCount="0" supportSubquery="1" supportAdvancedDrill="1" xr:uid="{84B8E936-F715-42BA-BA05-FB0238AE5ABD}">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Exp].[Date]" caption="Date" attribute="1" time="1" defaultMemberUniqueName="[Exp].[Date].[All]" allUniqueName="[Exp].[Date].[All]" dimensionUniqueName="[Exp]" displayFolder="" count="2" memberValueDatatype="7" unbalanced="0"/>
    <cacheHierarchy uniqueName="[Exp].[Expense Category]" caption="Expense Category" attribute="1" defaultMemberUniqueName="[Exp].[Expense Category].[All]" allUniqueName="[Exp].[Expense Category].[All]" dimensionUniqueName="[Exp]" displayFolder="" count="2" memberValueDatatype="130" unbalanced="0"/>
    <cacheHierarchy uniqueName="[Exp].[Description]" caption="Description" attribute="1" defaultMemberUniqueName="[Exp].[Description].[All]" allUniqueName="[Exp].[Description].[All]" dimensionUniqueName="[Exp]" displayFolder="" count="2" memberValueDatatype="130" unbalanced="0"/>
    <cacheHierarchy uniqueName="[Exp].[Amount]" caption="Amount" attribute="1" defaultMemberUniqueName="[Exp].[Amount].[All]" allUniqueName="[Exp].[Amount].[All]" dimensionUniqueName="[Exp]" displayFolder="" count="2" memberValueDatatype="5" unbalanced="0"/>
    <cacheHierarchy uniqueName="[Exp].[Payment Method]" caption="Payment Method" attribute="1" defaultMemberUniqueName="[Exp].[Payment Method].[All]" allUniqueName="[Exp].[Payment Method].[All]" dimensionUniqueName="[Exp]" displayFolder="" count="2" memberValueDatatype="130" unbalanced="0"/>
    <cacheHierarchy uniqueName="[Exp].[Vendor/Supplier]" caption="Vendor/Supplier" attribute="1" defaultMemberUniqueName="[Exp].[Vendor/Supplier].[All]" allUniqueName="[Exp].[Vendor/Supplier].[All]" dimensionUniqueName="[Exp]" displayFolder="" count="2" memberValueDatatype="130" unbalanced="0"/>
    <cacheHierarchy uniqueName="[Exp].[Notes]" caption="Notes" attribute="1" defaultMemberUniqueName="[Exp].[Notes].[All]" allUniqueName="[Exp].[Notes].[All]" dimensionUniqueName="[Exp]"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Range].[Sales_ID]" caption="Sales_ID" attribute="1" defaultMemberUniqueName="[Range].[Sales_ID].[All]" allUniqueName="[Range].[Sales_ID].[All]" dimensionUniqueName="[Range]" displayFolder="" count="2" memberValueDatatype="130" unbalanced="0"/>
    <cacheHierarchy uniqueName="[Range].[Date]" caption="Date" attribute="1" time="1" defaultMemberUniqueName="[Range].[Date].[All]" allUniqueName="[Range].[Date].[All]" dimensionUniqueName="[Range]" displayFolder="" count="2" memberValueDatatype="7" unbalanced="0"/>
    <cacheHierarchy uniqueName="[Range].[Item_Name]" caption="Item_Name" attribute="1" defaultMemberUniqueName="[Range].[Item_Name].[All]" allUniqueName="[Range].[Item_Name].[All]" dimensionUniqueName="[Range]" displayFolder="" count="2" memberValueDatatype="130" unbalanced="0"/>
    <cacheHierarchy uniqueName="[Range].[Quantity Sold.]" caption="Quantity Sold." attribute="1" defaultMemberUniqueName="[Range].[Quantity Sold.].[All]" allUniqueName="[Range].[Quantity Sold.].[All]" dimensionUniqueName="[Range]" displayFolder="" count="2" memberValueDatatype="20" unbalanced="0"/>
    <cacheHierarchy uniqueName="[Range].[Year]" caption="Year" attribute="1" defaultMemberUniqueName="[Range].[Year].[All]" allUniqueName="[Range].[Year].[All]" dimensionUniqueName="[Range]" displayFolder="" count="2" memberValueDatatype="20" unbalanced="0"/>
    <cacheHierarchy uniqueName="[Range].[Month]" caption="Month" attribute="1" defaultMemberUniqueName="[Range].[Month].[All]" allUniqueName="[Range].[Month].[All]" dimensionUniqueName="[Range]" displayFolder="" count="2" memberValueDatatype="20" unbalanced="0"/>
    <cacheHierarchy uniqueName="[Range].[Day]" caption="Day" attribute="1" defaultMemberUniqueName="[Range].[Day].[All]" allUniqueName="[Range].[Day].[All]" dimensionUniqueName="[Range]" displayFolder="" count="2" memberValueDatatype="20" unbalanced="0"/>
    <cacheHierarchy uniqueName="[Sales].[Sales_ID]" caption="Sales_ID" attribute="1" defaultMemberUniqueName="[Sales].[Sales_ID].[All]" allUniqueName="[Sales].[Sales_ID].[All]" dimensionUniqueName="[Sales]" displayFolder="" count="2" memberValueDatatype="130" unbalanced="0"/>
    <cacheHierarchy uniqueName="[Sales].[Dates]" caption="Dates" defaultMemberUniqueName="[Sales].[Dates].[All]" allUniqueName="[Sales].[Dates].[All]" dimensionUniqueName="[Sales]" displayFolder="" count="4" unbalanced="0"/>
    <cacheHierarchy uniqueName="[Sales].[Date]" caption="Date" attribute="1" time="1" defaultMemberUniqueName="[Sales].[Date].[All]" allUniqueName="[Sales].[Date].[All]" dimensionUniqueName="[Sales]" displayFolder="" count="2" memberValueDatatype="7" unbalanced="0"/>
    <cacheHierarchy uniqueName="[Sales].[Item_Name]" caption="Item_Name" attribute="1" defaultMemberUniqueName="[Sales].[Item_Name].[All]" allUniqueName="[Sales].[Item_Name].[All]" dimensionUniqueName="[Sales]" displayFolder="" count="2" memberValueDatatype="130" unbalanced="0"/>
    <cacheHierarchy uniqueName="[Sales].[Quantity Sold.]" caption="Quantity Sold." attribute="1" defaultMemberUniqueName="[Sales].[Quantity Sold.].[All]" allUniqueName="[Sales].[Quantity Sold.].[All]" dimensionUniqueName="[Sales]" displayFolder="" count="2" memberValueDatatype="20" unbalanced="0"/>
    <cacheHierarchy uniqueName="[Sales].[Year]" caption="Year" attribute="1" defaultMemberUniqueName="[Sales].[Year].[All]" allUniqueName="[Sales].[Year].[All]" dimensionUniqueName="[Sales]" displayFolder="" count="2" memberValueDatatype="20" unbalanced="0"/>
    <cacheHierarchy uniqueName="[Sales].[Month]" caption="Month" attribute="1" defaultMemberUniqueName="[Sales].[Month].[All]" allUniqueName="[Sales].[Month].[All]" dimensionUniqueName="[Sales]" displayFolder="" count="2" memberValueDatatype="20" unbalanced="0"/>
    <cacheHierarchy uniqueName="[Sales].[Day]" caption="Day" attribute="1" defaultMemberUniqueName="[Sales].[Day].[All]" allUniqueName="[Sales].[Day].[All]" dimensionUniqueName="[Sales]" displayFolder="" count="2" memberValueDatatype="20" unbalanced="0"/>
    <cacheHierarchy uniqueName="[Sales].[Test]" caption="Test" attribute="1" defaultMemberUniqueName="[Sales].[Test].[All]" allUniqueName="[Sales].[Test].[All]" dimensionUniqueName="[Sales]" displayFolder="" count="2" memberValueDatatype="130" unbalanced="0"/>
    <cacheHierarchy uniqueName="[Measures].[__XL_Count Table3]" caption="__XL_Count Table3" measure="1" displayFolder="" measureGroup="Sales" count="0" hidden="1"/>
    <cacheHierarchy uniqueName="[Measures].[__XL_Count Range]" caption="__XL_Count Range" measure="1" displayFolder="" measureGroup="Range" count="0" hidden="1"/>
    <cacheHierarchy uniqueName="[Measures].[__XL_Count Table1]" caption="__XL_Count Table1" measure="1" displayFolder="" measureGroup="Exp" count="0" hidden="1"/>
    <cacheHierarchy uniqueName="[Measures].[__No measures defined]" caption="__No measures defined" measure="1" displayFolder="" count="0" hidden="1"/>
    <cacheHierarchy uniqueName="[Measures].[Sum of Quantity Sold.]" caption="Sum of Quantity Sold." measure="1" displayFolder="" measureGroup="Sales" count="0" hidden="1">
      <extLst>
        <ext xmlns:x15="http://schemas.microsoft.com/office/spreadsheetml/2010/11/main" uri="{B97F6D7D-B522-45F9-BDA1-12C45D357490}">
          <x15:cacheHierarchy aggregatedColumn="19"/>
        </ext>
      </extLst>
    </cacheHierarchy>
    <cacheHierarchy uniqueName="[Measures].[Sum of Amount]" caption="Sum of Amount" measure="1" displayFolder="" measureGroup="Exp" count="0" hidden="1">
      <extLst>
        <ext xmlns:x15="http://schemas.microsoft.com/office/spreadsheetml/2010/11/main" uri="{B97F6D7D-B522-45F9-BDA1-12C45D357490}">
          <x15:cacheHierarchy aggregatedColumn="3"/>
        </ext>
      </extLst>
    </cacheHierarchy>
  </cacheHierarchies>
  <kpis count="0"/>
  <dimensions count="4">
    <dimension name="Exp" uniqueName="[Exp]" caption="Exp"/>
    <dimension measure="1" name="Measures" uniqueName="[Measures]" caption="Measures"/>
    <dimension name="Range" uniqueName="[Range]" caption="Range"/>
    <dimension name="Sales" uniqueName="[Sales]" caption="Sales"/>
  </dimensions>
  <measureGroups count="3">
    <measureGroup name="Exp" caption="Exp"/>
    <measureGroup name="Range" caption="Range"/>
    <measureGroup name="Sales" caption="Sales"/>
  </measureGroups>
  <maps count="3">
    <map measureGroup="0" dimension="0"/>
    <map measureGroup="1" dimension="2"/>
    <map measureGroup="2" dimension="3"/>
  </maps>
  <extLst>
    <ext xmlns:x14="http://schemas.microsoft.com/office/spreadsheetml/2009/9/main" uri="{725AE2AE-9491-48be-B2B4-4EB974FC3084}">
      <x14:pivotCacheDefinition slicerData="1" pivotCacheId="192370787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0"/>
  </r>
  <r>
    <x v="1"/>
    <n v="80"/>
  </r>
  <r>
    <x v="2"/>
    <n v="30"/>
  </r>
  <r>
    <x v="3"/>
    <n v="160"/>
  </r>
  <r>
    <x v="4"/>
    <n v="80"/>
  </r>
  <r>
    <x v="5"/>
    <n v="0"/>
  </r>
  <r>
    <x v="6"/>
    <n v="0"/>
  </r>
  <r>
    <x v="7"/>
    <n v="500"/>
  </r>
  <r>
    <x v="8"/>
    <m/>
  </r>
  <r>
    <x v="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E6966F-E402-4290-9099-A27A52BF5C2C}" name="PivotTable7" cacheId="1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1:F10" firstHeaderRow="1" firstDataRow="1" firstDataCol="1"/>
  <pivotFields count="2">
    <pivotField axis="axisRow" showAll="0" sortType="ascending">
      <items count="10">
        <item x="2"/>
        <item x="7"/>
        <item x="1"/>
        <item x="5"/>
        <item x="4"/>
        <item x="3"/>
        <item x="0"/>
        <item x="6"/>
        <item h="1" x="8"/>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9">
    <i>
      <x v="3"/>
    </i>
    <i>
      <x v="6"/>
    </i>
    <i>
      <x v="7"/>
    </i>
    <i>
      <x/>
    </i>
    <i>
      <x v="4"/>
    </i>
    <i>
      <x v="2"/>
    </i>
    <i>
      <x v="5"/>
    </i>
    <i>
      <x v="1"/>
    </i>
    <i t="grand">
      <x/>
    </i>
  </rowItems>
  <colItems count="1">
    <i/>
  </colItems>
  <dataFields count="1">
    <dataField name="Sum of currentStock" fld="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A4867D-A8F9-4C60-807F-A9A3B5EB8A9C}" name="PivotTable2" cacheId="3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30:K36" firstHeaderRow="1" firstDataRow="1" firstDataCol="1"/>
  <pivotFields count="6">
    <pivotField axis="axisRow" allDrilled="1" subtotalTop="0" showAll="0"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6">
    <i>
      <x v="1"/>
    </i>
    <i>
      <x v="4"/>
    </i>
    <i>
      <x v="3"/>
    </i>
    <i>
      <x/>
    </i>
    <i>
      <x v="2"/>
    </i>
    <i t="grand">
      <x/>
    </i>
  </rowItems>
  <colItems count="1">
    <i/>
  </colItems>
  <dataFields count="1">
    <dataField name="Sum of Quantity Sold."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2" level="1">
        <member name="[Sales].[Dates].[Year].&amp;[2024]"/>
        <member name="[Sales].[Dates].[Year].&amp;[2025]"/>
      </members>
    </pivotHierarchy>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5293CE-C910-4CAC-87DA-7D3EC5458BF0}" name="PivotTable3" cacheId="365" applyNumberFormats="0" applyBorderFormats="0" applyFontFormats="0" applyPatternFormats="0" applyAlignmentFormats="0" applyWidthHeightFormats="1" dataCaption="Values" tag="b46743b0-8456-40cb-9d6f-13285a9dd1da" updatedVersion="8" minRefreshableVersion="3" useAutoFormatting="1" itemPrintTitles="1" createdVersion="5" indent="0" outline="1" outlineData="1" multipleFieldFilters="0" chartFormat="6">
  <location ref="J14:K21" firstHeaderRow="1" firstDataRow="1" firstDataCol="1"/>
  <pivotFields count="5">
    <pivotField axis="axisRow" allDrilled="1" subtotalTop="0" showAll="0" dataSourceSort="1" defaultSubtotal="0">
      <items count="2">
        <item s="1" c="1" x="0"/>
        <item n="2025" s="1" c="1" x="1"/>
      </items>
    </pivotField>
    <pivotField axis="axisRow" allDrilled="1" subtotalTop="0" showAll="0" dataSourceSort="1" defaultSubtotal="0">
      <items count="4">
        <item c="1" x="0"/>
        <item c="1" x="1"/>
        <item c="1" x="2"/>
        <item c="1" x="3"/>
      </items>
    </pivotField>
    <pivotField axis="axisRow" subtotalTop="0" showAll="0" dataSourceSort="1" defaultSubtotal="0"/>
    <pivotField dataField="1" subtotalTop="0" showAll="0" defaultSubtotal="0"/>
    <pivotField allDrilled="1" subtotalTop="0" showAll="0" dataSourceSort="1" defaultSubtotal="0" defaultAttributeDrillState="1"/>
  </pivotFields>
  <rowFields count="2">
    <field x="0"/>
    <field x="1"/>
  </rowFields>
  <rowItems count="7">
    <i>
      <x/>
    </i>
    <i r="1">
      <x/>
    </i>
    <i>
      <x v="1"/>
    </i>
    <i r="1">
      <x v="1"/>
    </i>
    <i r="1">
      <x v="2"/>
    </i>
    <i r="1">
      <x v="3"/>
    </i>
    <i t="grand">
      <x/>
    </i>
  </rowItems>
  <colItems count="1">
    <i/>
  </colItems>
  <dataFields count="1">
    <dataField name="Sum of Quantity Sold." fld="3" baseField="0" baseItem="0"/>
  </dataFields>
  <chartFormats count="1">
    <chartFormat chart="5"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63C090-032E-4965-8F19-A97B1B6C47BA}" name="PivotTable3" cacheId="368" applyNumberFormats="0" applyBorderFormats="0" applyFontFormats="0" applyPatternFormats="0" applyAlignmentFormats="0" applyWidthHeightFormats="1" dataCaption="Values" tag="79820856-8dce-49c4-bc8c-7ad7bab0319c" updatedVersion="8" minRefreshableVersion="3" useAutoFormatting="1" itemPrintTitles="1" createdVersion="8" indent="0" outline="1" outlineData="1" multipleFieldFilters="0" chartFormat="4">
  <location ref="N26:O33" firstHeaderRow="1" firstDataRow="1" firstDataCol="1"/>
  <pivotFields count="6">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Amount"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2" level="1">
        <member name="[Sales].[Dates].[Year].&amp;[2024]"/>
        <member name="[Sales].[Dates].[Year].&amp;[2025]"/>
      </members>
    </pivotHierarchy>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 xr10:uid="{340EE9AB-52D9-432A-9E6A-ACC97D2A60A9}" sourceName="[Sales].[Test]">
  <pivotTables>
    <pivotTable tabId="3" name="PivotTable2"/>
    <pivotTable tabId="3" name="PivotTable3"/>
    <pivotTable tabId="7" name="PivotTable3"/>
  </pivotTables>
  <data>
    <olap pivotCacheId="1923707874">
      <levels count="2">
        <level uniqueName="[Sales].[Test].[(All)]" sourceCaption="(All)" count="0"/>
        <level uniqueName="[Sales].[Test].[Test]" sourceCaption="Test" count="5">
          <ranges>
            <range startItem="0">
              <i n="[Sales].[Test].&amp;[Feb 2024]" c="Feb 2024"/>
              <i n="[Sales].[Test].&amp;[Feb 2025]" c="Feb 2025"/>
              <i n="[Sales].[Test].&amp;[Jan 2025]" c="Jan 2025"/>
              <i n="[Sales].[Test].&amp;[Mar 2025]" c="Mar 2025"/>
              <i n="[Sales].[Test].&amp;[]" c=""/>
            </range>
          </ranges>
        </level>
      </levels>
      <selections count="1">
        <selection n="[Sales].[Tes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26A07AF3-F458-44C5-AE60-155676F7C74D}" cache="Slicer_Test" caption="Date"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36FA2D-6287-475D-959E-0F2DCC700BFD}" name="Table4" displayName="Table4" ref="A1:D10006" totalsRowShown="0" headerRowDxfId="23" dataDxfId="22">
  <autoFilter ref="A1:D10006" xr:uid="{3936FA2D-6287-475D-959E-0F2DCC700BFD}"/>
  <tableColumns count="4">
    <tableColumn id="1" xr3:uid="{1DCB21D7-7DE2-40C1-817D-EC59003C1000}" name="Collection_ID " dataDxfId="21"/>
    <tableColumn id="2" xr3:uid="{8939A92A-BE86-413E-9BAE-5B0AEA037FD9}" name=" Date" dataDxfId="20"/>
    <tableColumn id="3" xr3:uid="{3A7224BF-24C5-4EC0-B903-67BF33123B64}" name="Item_Name" dataDxfId="19"/>
    <tableColumn id="4" xr3:uid="{EF47AEB1-F7C7-4BA2-80CD-FB6CE28A1EE7}" name=" Quantity Collected." dataDxfId="1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DAE0BB-4E57-4A0A-913E-42A747F15552}" name="Table3" displayName="Table3" ref="A1:G10006" totalsRowShown="0" headerRowDxfId="17" dataDxfId="16">
  <autoFilter ref="A1:G10006" xr:uid="{75DAE0BB-4E57-4A0A-913E-42A747F15552}"/>
  <tableColumns count="7">
    <tableColumn id="1" xr3:uid="{40789561-E859-468E-8160-C2C748765D6C}" name="Sales_ID " dataDxfId="15"/>
    <tableColumn id="2" xr3:uid="{F636A9DB-07D4-4293-976B-9CF89D30A94D}" name=" Date" dataDxfId="14"/>
    <tableColumn id="3" xr3:uid="{BB3BF1B1-50CC-48FA-BD75-129F1AF9DCC2}" name="Item_Name" dataDxfId="13"/>
    <tableColumn id="4" xr3:uid="{3444E955-93FC-4D8F-A3DE-1BD8AFB7D741}" name=" Quantity Sold." dataDxfId="12"/>
    <tableColumn id="5" xr3:uid="{399322A3-4C51-4238-880D-0C28318BA24F}" name="Year" dataDxfId="11"/>
    <tableColumn id="6" xr3:uid="{43EE5437-C605-4738-8ACF-041658152F3D}" name="Month" dataDxfId="10"/>
    <tableColumn id="7" xr3:uid="{C3E4AEDA-4FD2-4B9A-85D3-A5CF4A2EAFC1}" name="Day" dataDxfId="9"/>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C121-B22D-42C5-BB48-A195DFD11096}" name="Table1" displayName="Table1" ref="A1:G10000" totalsRowShown="0" headerRowDxfId="3" dataDxfId="2">
  <autoFilter ref="A1:G10000" xr:uid="{9922C121-B22D-42C5-BB48-A195DFD11096}"/>
  <tableColumns count="7">
    <tableColumn id="1" xr3:uid="{A170DC7F-9ADD-4B0D-818D-08CCF855B006}" name="Date" dataDxfId="0"/>
    <tableColumn id="2" xr3:uid="{56C99EDF-F85A-4AB5-AF7B-EF327E2241F9}" name="Expense Category" dataDxfId="1"/>
    <tableColumn id="3" xr3:uid="{4CF99841-8DE3-434E-8EC2-6719E59B93BB}" name="Description" dataDxfId="8"/>
    <tableColumn id="4" xr3:uid="{4063ADBD-FFE6-4CE3-BA5E-1E79ECD22CAA}" name="Amount" dataDxfId="7"/>
    <tableColumn id="5" xr3:uid="{3D97FD55-FF83-4869-B790-EA30BE8ABFB9}" name="Payment Method" dataDxfId="6"/>
    <tableColumn id="6" xr3:uid="{AB50D71C-BE95-4B8F-ACA2-0BD422738C7D}" name="Vendor/Supplier" dataDxfId="5"/>
    <tableColumn id="7" xr3:uid="{B5FB57DC-2B25-4577-87A1-5FD25AE65254}" name="Notes" dataDxfId="4"/>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5B700BE8-B9A8-214B-8AA9-3BF9E4AC1D66}">
  <we:reference id="wa102957665" version="1.3.0.0" store="en-US" storeType="OMEX"/>
  <we:alternateReferences>
    <we:reference id="WA102957665" version="1.3.0.0" store="" storeType="OMEX"/>
  </we:alternateReferences>
  <we:properties>
    <we:property name="opt_month" value="&quot;2025-01-01&quot;"/>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D0CFE919-3CA4-C0E7-FFD5-3D6AFE292090}">
  <we:reference id="wa102957665" version="1.3.0.0" store="en-US" storeType="OMEX"/>
  <we:alternateReferences>
    <we:reference id="WA102957665" version="1.3.0.0" store="" storeType="OMEX"/>
  </we:alternateReferences>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9"/>
  <sheetViews>
    <sheetView workbookViewId="0">
      <selection activeCell="D14" sqref="D14"/>
    </sheetView>
  </sheetViews>
  <sheetFormatPr defaultRowHeight="14.4" x14ac:dyDescent="0.3"/>
  <cols>
    <col min="1" max="1" width="8.21875" style="1" bestFit="1" customWidth="1"/>
    <col min="2" max="2" width="14.21875" style="1" customWidth="1"/>
    <col min="3" max="3" width="15.33203125" style="1" customWidth="1"/>
    <col min="4" max="4" width="15.6640625" style="1" customWidth="1"/>
  </cols>
  <sheetData>
    <row r="1" spans="1:4" x14ac:dyDescent="0.3">
      <c r="A1" s="1" t="s">
        <v>2</v>
      </c>
      <c r="B1" s="1" t="s">
        <v>0</v>
      </c>
      <c r="C1" s="1" t="s">
        <v>1</v>
      </c>
      <c r="D1" s="1" t="s">
        <v>3</v>
      </c>
    </row>
    <row r="2" spans="1:4" x14ac:dyDescent="0.3">
      <c r="A2" s="1">
        <v>1</v>
      </c>
      <c r="B2" s="1" t="s">
        <v>4</v>
      </c>
      <c r="C2" s="1" t="s">
        <v>5</v>
      </c>
      <c r="D2" s="1">
        <v>3</v>
      </c>
    </row>
    <row r="3" spans="1:4" x14ac:dyDescent="0.3">
      <c r="A3" s="1">
        <v>2</v>
      </c>
      <c r="B3" s="1" t="s">
        <v>6</v>
      </c>
      <c r="C3" s="1" t="s">
        <v>5</v>
      </c>
      <c r="D3" s="1">
        <v>2.5</v>
      </c>
    </row>
    <row r="4" spans="1:4" x14ac:dyDescent="0.3">
      <c r="A4" s="1">
        <v>3</v>
      </c>
      <c r="B4" s="1" t="s">
        <v>7</v>
      </c>
      <c r="C4" s="1" t="s">
        <v>8</v>
      </c>
      <c r="D4" s="1">
        <v>4</v>
      </c>
    </row>
    <row r="5" spans="1:4" x14ac:dyDescent="0.3">
      <c r="A5" s="1">
        <v>4</v>
      </c>
      <c r="B5" s="1" t="s">
        <v>9</v>
      </c>
      <c r="C5" s="1" t="s">
        <v>8</v>
      </c>
      <c r="D5" s="1">
        <v>3.5</v>
      </c>
    </row>
    <row r="6" spans="1:4" x14ac:dyDescent="0.3">
      <c r="A6" s="1">
        <v>5</v>
      </c>
      <c r="B6" s="1" t="s">
        <v>10</v>
      </c>
      <c r="C6" s="1" t="s">
        <v>11</v>
      </c>
      <c r="D6" s="1">
        <v>1.2</v>
      </c>
    </row>
    <row r="7" spans="1:4" x14ac:dyDescent="0.3">
      <c r="A7" s="1">
        <v>6</v>
      </c>
      <c r="B7" s="1" t="s">
        <v>12</v>
      </c>
      <c r="C7" s="1" t="s">
        <v>11</v>
      </c>
      <c r="D7" s="1">
        <v>2.8</v>
      </c>
    </row>
    <row r="8" spans="1:4" x14ac:dyDescent="0.3">
      <c r="A8" s="1">
        <v>7</v>
      </c>
      <c r="B8" s="1" t="s">
        <v>13</v>
      </c>
      <c r="C8" s="1" t="s">
        <v>14</v>
      </c>
      <c r="D8" s="1">
        <v>1.5</v>
      </c>
    </row>
    <row r="9" spans="1:4" x14ac:dyDescent="0.3">
      <c r="A9" s="1">
        <v>8</v>
      </c>
      <c r="B9" s="1" t="s">
        <v>15</v>
      </c>
      <c r="C9" s="1" t="s">
        <v>14</v>
      </c>
      <c r="D9" s="1">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70A03-4B47-4F76-93E4-43E9D0105CE2}">
  <sheetPr codeName="Sheet2"/>
  <dimension ref="A1:I19"/>
  <sheetViews>
    <sheetView workbookViewId="0">
      <selection activeCell="B3" sqref="B3"/>
    </sheetView>
  </sheetViews>
  <sheetFormatPr defaultRowHeight="14.4" x14ac:dyDescent="0.3"/>
  <cols>
    <col min="1" max="1" width="11.88671875" style="1" bestFit="1" customWidth="1"/>
    <col min="2" max="2" width="14.6640625" style="1" customWidth="1"/>
    <col min="3" max="3" width="8.88671875" style="1"/>
    <col min="5" max="5" width="12.77734375" bestFit="1" customWidth="1"/>
    <col min="6" max="6" width="18.44140625" bestFit="1" customWidth="1"/>
    <col min="10" max="10" width="12.77734375" bestFit="1" customWidth="1"/>
    <col min="11" max="11" width="18.44140625" bestFit="1" customWidth="1"/>
  </cols>
  <sheetData>
    <row r="1" spans="1:6" x14ac:dyDescent="0.3">
      <c r="A1" s="1" t="s">
        <v>31</v>
      </c>
      <c r="B1" s="1" t="s">
        <v>25</v>
      </c>
      <c r="C1" s="1" t="s">
        <v>19</v>
      </c>
      <c r="E1" s="14" t="s">
        <v>33</v>
      </c>
      <c r="F1" t="s">
        <v>35</v>
      </c>
    </row>
    <row r="2" spans="1:6" x14ac:dyDescent="0.3">
      <c r="A2" s="1" t="s">
        <v>4</v>
      </c>
      <c r="B2" s="3">
        <f>SUMIF('Daily Collection'!C$1:C$10006,Inventory!A2,'Daily Collection'!D$1:D$10006)-SUMIF('Daily Sales'!C$1:C$10006,Inventory!A2,'Daily Sales'!D$1:D$10006)</f>
        <v>0</v>
      </c>
      <c r="C2" s="1" t="s">
        <v>20</v>
      </c>
      <c r="E2" s="15" t="s">
        <v>12</v>
      </c>
      <c r="F2" s="17">
        <v>0</v>
      </c>
    </row>
    <row r="3" spans="1:6" x14ac:dyDescent="0.3">
      <c r="A3" s="1" t="s">
        <v>6</v>
      </c>
      <c r="B3" s="3">
        <f>SUMIF('Daily Collection'!C$1:C$10006,Inventory!A3,'Daily Collection'!D$1:D$10006)-SUMIF('Daily Sales'!C$1:C$10006,Inventory!A3,'Daily Sales'!D$1:D$10006)</f>
        <v>80</v>
      </c>
      <c r="C3" s="1" t="s">
        <v>20</v>
      </c>
      <c r="E3" s="15" t="s">
        <v>4</v>
      </c>
      <c r="F3" s="17">
        <v>0</v>
      </c>
    </row>
    <row r="4" spans="1:6" x14ac:dyDescent="0.3">
      <c r="A4" s="1" t="s">
        <v>7</v>
      </c>
      <c r="B4" s="3">
        <f>SUMIF('Daily Collection'!C$1:C$10006,Inventory!A4,'Daily Collection'!D$1:D$10006)-SUMIF('Daily Sales'!C$1:C$10006,Inventory!A4,'Daily Sales'!D$1:D$10006)</f>
        <v>30</v>
      </c>
      <c r="C4" s="1" t="s">
        <v>20</v>
      </c>
      <c r="E4" s="15" t="s">
        <v>13</v>
      </c>
      <c r="F4" s="17">
        <v>0</v>
      </c>
    </row>
    <row r="5" spans="1:6" x14ac:dyDescent="0.3">
      <c r="A5" s="1" t="s">
        <v>9</v>
      </c>
      <c r="B5" s="3">
        <f>SUMIF('Daily Collection'!C$1:C$10006,Inventory!A5,'Daily Collection'!D$1:D$10006)-SUMIF('Daily Sales'!C$1:C$10006,Inventory!A5,'Daily Sales'!D$1:D$10006)</f>
        <v>160</v>
      </c>
      <c r="C5" s="1" t="s">
        <v>20</v>
      </c>
      <c r="E5" s="15" t="s">
        <v>7</v>
      </c>
      <c r="F5" s="17">
        <v>30</v>
      </c>
    </row>
    <row r="6" spans="1:6" x14ac:dyDescent="0.3">
      <c r="A6" s="1" t="s">
        <v>10</v>
      </c>
      <c r="B6" s="3">
        <f>SUMIF('Daily Collection'!C$1:C$10006,Inventory!A6,'Daily Collection'!D$1:D$10006)-SUMIF('Daily Sales'!C$1:C$10006,Inventory!A6,'Daily Sales'!D$1:D$10006)</f>
        <v>80</v>
      </c>
      <c r="C6" s="1" t="s">
        <v>21</v>
      </c>
      <c r="E6" s="15" t="s">
        <v>10</v>
      </c>
      <c r="F6" s="17">
        <v>80</v>
      </c>
    </row>
    <row r="7" spans="1:6" x14ac:dyDescent="0.3">
      <c r="A7" s="1" t="s">
        <v>12</v>
      </c>
      <c r="B7" s="3">
        <f>SUMIF('Daily Collection'!C$1:C$10006,Inventory!A7,'Daily Collection'!D$1:D$10006)-SUMIF('Daily Sales'!C$1:C$10006,Inventory!A7,'Daily Sales'!D$1:D$10006)</f>
        <v>0</v>
      </c>
      <c r="C7" s="1" t="s">
        <v>22</v>
      </c>
      <c r="E7" s="15" t="s">
        <v>6</v>
      </c>
      <c r="F7" s="17">
        <v>80</v>
      </c>
    </row>
    <row r="8" spans="1:6" x14ac:dyDescent="0.3">
      <c r="A8" s="1" t="s">
        <v>13</v>
      </c>
      <c r="B8" s="3">
        <f>SUMIF('Daily Collection'!C$1:C$10006,Inventory!A8,'Daily Collection'!D$1:D$10006)-SUMIF('Daily Sales'!C$1:C$10006,Inventory!A8,'Daily Sales'!D$1:D$10006)</f>
        <v>0</v>
      </c>
      <c r="C8" s="1" t="s">
        <v>20</v>
      </c>
      <c r="E8" s="15" t="s">
        <v>9</v>
      </c>
      <c r="F8" s="17">
        <v>160</v>
      </c>
    </row>
    <row r="9" spans="1:6" x14ac:dyDescent="0.3">
      <c r="A9" s="1" t="s">
        <v>15</v>
      </c>
      <c r="B9" s="3">
        <f>SUMIF('Daily Collection'!C$1:C$10006,Inventory!A9,'Daily Collection'!D$1:D$10006)-SUMIF('Daily Sales'!C$1:C$10006,Inventory!A9,'Daily Sales'!D$1:D$10006)</f>
        <v>500</v>
      </c>
      <c r="C9" s="1" t="s">
        <v>20</v>
      </c>
      <c r="E9" s="15" t="s">
        <v>15</v>
      </c>
      <c r="F9" s="17">
        <v>500</v>
      </c>
    </row>
    <row r="10" spans="1:6" x14ac:dyDescent="0.3">
      <c r="B10" s="3"/>
      <c r="E10" s="15" t="s">
        <v>34</v>
      </c>
      <c r="F10" s="17">
        <v>850</v>
      </c>
    </row>
    <row r="19" spans="9:9" x14ac:dyDescent="0.3">
      <c r="I19" t="s">
        <v>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577A9-16D3-4BC4-96C6-3D07D2A7B62A}">
  <sheetPr codeName="Sheet4"/>
  <dimension ref="A1:I1048564"/>
  <sheetViews>
    <sheetView workbookViewId="0">
      <selection activeCell="G19" sqref="G19"/>
    </sheetView>
  </sheetViews>
  <sheetFormatPr defaultRowHeight="14.4" x14ac:dyDescent="0.3"/>
  <cols>
    <col min="1" max="1" width="20.5546875" style="1" customWidth="1"/>
    <col min="2" max="2" width="19" style="2" customWidth="1"/>
    <col min="3" max="3" width="19.33203125" style="1" customWidth="1"/>
    <col min="4" max="4" width="22.109375" style="1" customWidth="1"/>
    <col min="5" max="5" width="8.88671875" style="1"/>
    <col min="6" max="6" width="12.77734375" style="1" bestFit="1" customWidth="1"/>
    <col min="7" max="8" width="21.109375" style="1" bestFit="1" customWidth="1"/>
    <col min="9" max="16384" width="8.88671875" style="1"/>
  </cols>
  <sheetData>
    <row r="1" spans="1:9" x14ac:dyDescent="0.3">
      <c r="A1" s="1" t="s">
        <v>18</v>
      </c>
      <c r="B1" s="2" t="s">
        <v>16</v>
      </c>
      <c r="C1" s="1" t="s">
        <v>31</v>
      </c>
      <c r="D1" s="1" t="s">
        <v>17</v>
      </c>
      <c r="F1"/>
      <c r="G1"/>
      <c r="H1"/>
    </row>
    <row r="2" spans="1:9" x14ac:dyDescent="0.3">
      <c r="A2" s="1" t="str">
        <f t="shared" ref="A2:A7" si="0">LEFT(A3,1)&amp;(VALUE(RIGHT(A3,LEN(A3)-1))+1)</f>
        <v>C7</v>
      </c>
      <c r="B2" s="2">
        <v>45719</v>
      </c>
      <c r="C2" s="1" t="s">
        <v>9</v>
      </c>
      <c r="D2" s="1">
        <v>200</v>
      </c>
      <c r="F2"/>
      <c r="G2"/>
      <c r="H2"/>
    </row>
    <row r="3" spans="1:9" x14ac:dyDescent="0.3">
      <c r="A3" s="1" t="str">
        <f t="shared" si="0"/>
        <v>C6</v>
      </c>
      <c r="B3" s="2">
        <v>45325</v>
      </c>
      <c r="C3" s="1" t="s">
        <v>10</v>
      </c>
      <c r="D3" s="1">
        <v>100</v>
      </c>
      <c r="F3"/>
      <c r="G3"/>
      <c r="H3"/>
    </row>
    <row r="4" spans="1:9" x14ac:dyDescent="0.3">
      <c r="A4" s="1" t="str">
        <f t="shared" si="0"/>
        <v>C5</v>
      </c>
      <c r="B4" s="2">
        <v>45691</v>
      </c>
      <c r="C4" s="1" t="s">
        <v>7</v>
      </c>
      <c r="D4" s="1">
        <v>50</v>
      </c>
      <c r="F4"/>
      <c r="G4"/>
      <c r="H4"/>
    </row>
    <row r="5" spans="1:9" x14ac:dyDescent="0.3">
      <c r="A5" s="1" t="str">
        <f t="shared" si="0"/>
        <v>C4</v>
      </c>
      <c r="B5" s="2">
        <v>45664</v>
      </c>
      <c r="C5" s="1" t="s">
        <v>9</v>
      </c>
      <c r="D5" s="1">
        <v>20</v>
      </c>
      <c r="F5"/>
      <c r="G5"/>
      <c r="H5"/>
    </row>
    <row r="6" spans="1:9" x14ac:dyDescent="0.3">
      <c r="A6" s="1" t="str">
        <f>LEFT(A7,1)&amp;(VALUE(RIGHT(A7,LEN(A7)-1))+1)</f>
        <v>C3</v>
      </c>
      <c r="B6" s="2">
        <v>45664</v>
      </c>
      <c r="C6" s="1" t="s">
        <v>6</v>
      </c>
      <c r="D6" s="1">
        <v>100</v>
      </c>
      <c r="F6"/>
      <c r="G6"/>
      <c r="H6"/>
    </row>
    <row r="7" spans="1:9" x14ac:dyDescent="0.3">
      <c r="A7" s="1" t="str">
        <f t="shared" si="0"/>
        <v>C2</v>
      </c>
      <c r="B7" s="2">
        <v>45665</v>
      </c>
      <c r="C7" s="1" t="s">
        <v>15</v>
      </c>
      <c r="D7" s="1">
        <v>600</v>
      </c>
      <c r="F7"/>
      <c r="G7"/>
      <c r="H7"/>
    </row>
    <row r="8" spans="1:9" x14ac:dyDescent="0.3">
      <c r="A8" s="1" t="s">
        <v>26</v>
      </c>
      <c r="B8" s="2">
        <v>45663</v>
      </c>
      <c r="C8" s="1">
        <v>0</v>
      </c>
      <c r="D8" s="1">
        <v>0</v>
      </c>
      <c r="F8"/>
      <c r="G8"/>
      <c r="H8"/>
    </row>
    <row r="9" spans="1:9" x14ac:dyDescent="0.3">
      <c r="F9"/>
      <c r="G9"/>
      <c r="H9"/>
    </row>
    <row r="10" spans="1:9" x14ac:dyDescent="0.3">
      <c r="F10"/>
      <c r="G10"/>
      <c r="H10"/>
    </row>
    <row r="11" spans="1:9" x14ac:dyDescent="0.3">
      <c r="F11"/>
      <c r="G11"/>
      <c r="H11"/>
    </row>
    <row r="12" spans="1:9" x14ac:dyDescent="0.3">
      <c r="F12"/>
      <c r="G12"/>
      <c r="H12"/>
      <c r="I12"/>
    </row>
    <row r="13" spans="1:9" x14ac:dyDescent="0.3">
      <c r="F13"/>
      <c r="G13"/>
      <c r="H13"/>
      <c r="I13"/>
    </row>
    <row r="14" spans="1:9" x14ac:dyDescent="0.3">
      <c r="F14"/>
      <c r="G14"/>
      <c r="H14"/>
      <c r="I14"/>
    </row>
    <row r="15" spans="1:9" x14ac:dyDescent="0.3">
      <c r="F15"/>
      <c r="G15"/>
      <c r="H15"/>
      <c r="I15"/>
    </row>
    <row r="16" spans="1:9" x14ac:dyDescent="0.3">
      <c r="F16"/>
      <c r="G16"/>
      <c r="H16"/>
      <c r="I16"/>
    </row>
    <row r="17" spans="6:9" x14ac:dyDescent="0.3">
      <c r="F17"/>
      <c r="G17"/>
      <c r="H17"/>
      <c r="I17"/>
    </row>
    <row r="18" spans="6:9" x14ac:dyDescent="0.3">
      <c r="F18"/>
      <c r="G18"/>
      <c r="H18"/>
      <c r="I18"/>
    </row>
    <row r="19" spans="6:9" x14ac:dyDescent="0.3">
      <c r="F19"/>
      <c r="G19"/>
      <c r="H19"/>
      <c r="I19"/>
    </row>
    <row r="20" spans="6:9" x14ac:dyDescent="0.3">
      <c r="F20"/>
      <c r="G20"/>
      <c r="H20"/>
      <c r="I20"/>
    </row>
    <row r="21" spans="6:9" x14ac:dyDescent="0.3">
      <c r="F21"/>
      <c r="G21"/>
      <c r="H21"/>
      <c r="I21"/>
    </row>
    <row r="22" spans="6:9" x14ac:dyDescent="0.3">
      <c r="F22"/>
      <c r="G22"/>
      <c r="H22"/>
      <c r="I22"/>
    </row>
    <row r="23" spans="6:9" x14ac:dyDescent="0.3">
      <c r="F23"/>
      <c r="G23"/>
      <c r="H23"/>
      <c r="I23"/>
    </row>
    <row r="24" spans="6:9" x14ac:dyDescent="0.3">
      <c r="F24"/>
      <c r="G24"/>
      <c r="H24"/>
      <c r="I24"/>
    </row>
    <row r="25" spans="6:9" x14ac:dyDescent="0.3">
      <c r="F25"/>
      <c r="G25"/>
      <c r="H25"/>
      <c r="I25"/>
    </row>
    <row r="26" spans="6:9" x14ac:dyDescent="0.3">
      <c r="F26"/>
      <c r="G26"/>
      <c r="H26"/>
      <c r="I26"/>
    </row>
    <row r="27" spans="6:9" x14ac:dyDescent="0.3">
      <c r="F27"/>
      <c r="G27"/>
      <c r="H27"/>
      <c r="I27"/>
    </row>
    <row r="28" spans="6:9" x14ac:dyDescent="0.3">
      <c r="F28"/>
      <c r="G28"/>
      <c r="H28"/>
      <c r="I28"/>
    </row>
    <row r="29" spans="6:9" x14ac:dyDescent="0.3">
      <c r="F29"/>
      <c r="G29"/>
      <c r="H29"/>
      <c r="I29"/>
    </row>
    <row r="30" spans="6:9" x14ac:dyDescent="0.3">
      <c r="F30"/>
      <c r="G30"/>
      <c r="H30"/>
    </row>
    <row r="31" spans="6:9" x14ac:dyDescent="0.3">
      <c r="F31"/>
      <c r="G31"/>
      <c r="H31"/>
    </row>
    <row r="32" spans="6:9" x14ac:dyDescent="0.3">
      <c r="F32"/>
      <c r="G32"/>
      <c r="H32"/>
    </row>
    <row r="33" spans="6:8" x14ac:dyDescent="0.3">
      <c r="F33"/>
      <c r="G33"/>
      <c r="H33"/>
    </row>
    <row r="34" spans="6:8" x14ac:dyDescent="0.3">
      <c r="F34"/>
      <c r="G34"/>
      <c r="H34"/>
    </row>
    <row r="35" spans="6:8" x14ac:dyDescent="0.3">
      <c r="F35"/>
      <c r="G35"/>
      <c r="H35"/>
    </row>
    <row r="36" spans="6:8" x14ac:dyDescent="0.3">
      <c r="F36"/>
      <c r="G36"/>
      <c r="H36"/>
    </row>
    <row r="1048564" spans="7:7" x14ac:dyDescent="0.3">
      <c r="G1048564" s="13"/>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E41E0-A139-4C94-B11C-4ECD677695CF}">
  <sheetPr codeName="Sheet3"/>
  <dimension ref="A1:N48"/>
  <sheetViews>
    <sheetView workbookViewId="0">
      <selection activeCell="N25" sqref="N25"/>
    </sheetView>
  </sheetViews>
  <sheetFormatPr defaultColWidth="10.6640625" defaultRowHeight="14.4" x14ac:dyDescent="0.3"/>
  <cols>
    <col min="1" max="1" width="20.5546875" style="1" customWidth="1"/>
    <col min="2" max="2" width="19" style="2" customWidth="1"/>
    <col min="3" max="3" width="19.33203125" style="1" customWidth="1"/>
    <col min="4" max="4" width="22.109375" style="1" customWidth="1"/>
    <col min="5" max="5" width="10.6640625" style="1"/>
    <col min="6" max="6" width="12.77734375" style="1" bestFit="1" customWidth="1"/>
    <col min="7" max="7" width="20.21875" style="1" bestFit="1" customWidth="1"/>
    <col min="8" max="8" width="10.6640625" style="1"/>
    <col min="9" max="10" width="12.77734375" style="1" bestFit="1" customWidth="1"/>
    <col min="11" max="11" width="19.88671875" style="1" bestFit="1" customWidth="1"/>
    <col min="12" max="12" width="10.6640625" style="1"/>
    <col min="13" max="13" width="13.44140625" style="1" customWidth="1"/>
    <col min="14" max="16384" width="10.6640625" style="1"/>
  </cols>
  <sheetData>
    <row r="1" spans="1:12" x14ac:dyDescent="0.3">
      <c r="A1" s="1" t="s">
        <v>27</v>
      </c>
      <c r="B1" s="2" t="s">
        <v>16</v>
      </c>
      <c r="C1" s="1" t="s">
        <v>31</v>
      </c>
      <c r="D1" s="1" t="s">
        <v>28</v>
      </c>
      <c r="E1" s="1" t="s">
        <v>37</v>
      </c>
      <c r="F1" s="1" t="s">
        <v>38</v>
      </c>
      <c r="G1" s="1" t="s">
        <v>39</v>
      </c>
      <c r="H1"/>
    </row>
    <row r="2" spans="1:12" x14ac:dyDescent="0.3">
      <c r="A2" s="1" t="str">
        <f t="shared" ref="A2:A7" si="0">LEFT(A3, 1) &amp; (VALUE(RIGHT(A3, LEN(A3)-1)) + 1)</f>
        <v>S7</v>
      </c>
      <c r="B2" s="2">
        <v>45664</v>
      </c>
      <c r="C2" s="1" t="s">
        <v>9</v>
      </c>
      <c r="D2" s="1">
        <v>10</v>
      </c>
      <c r="E2" s="1">
        <f>YEAR(Table3[[#This Row],[ Date]])</f>
        <v>2025</v>
      </c>
      <c r="F2" s="1">
        <f>MONTH(Table3[[#This Row],[ Date]])</f>
        <v>1</v>
      </c>
      <c r="G2" s="1">
        <f>DAY(Table3[[#This Row],[ Date]])</f>
        <v>7</v>
      </c>
      <c r="H2"/>
    </row>
    <row r="3" spans="1:12" x14ac:dyDescent="0.3">
      <c r="A3" s="1" t="str">
        <f t="shared" si="0"/>
        <v>S6</v>
      </c>
      <c r="B3" s="2">
        <v>45719</v>
      </c>
      <c r="C3" s="1" t="s">
        <v>9</v>
      </c>
      <c r="D3" s="1">
        <v>50</v>
      </c>
      <c r="E3" s="1">
        <f>YEAR(Table3[[#This Row],[ Date]])</f>
        <v>2025</v>
      </c>
      <c r="F3" s="1">
        <f>MONTH(Table3[[#This Row],[ Date]])</f>
        <v>3</v>
      </c>
      <c r="G3" s="1">
        <f>DAY(Table3[[#This Row],[ Date]])</f>
        <v>3</v>
      </c>
      <c r="H3"/>
    </row>
    <row r="4" spans="1:12" x14ac:dyDescent="0.3">
      <c r="A4" s="1" t="str">
        <f t="shared" si="0"/>
        <v>S5</v>
      </c>
      <c r="B4" s="2">
        <v>45326</v>
      </c>
      <c r="C4" s="1" t="s">
        <v>10</v>
      </c>
      <c r="D4" s="1">
        <v>20</v>
      </c>
      <c r="E4" s="1">
        <f>YEAR(Table3[[#This Row],[ Date]])</f>
        <v>2024</v>
      </c>
      <c r="F4" s="1">
        <f>MONTH(Table3[[#This Row],[ Date]])</f>
        <v>2</v>
      </c>
      <c r="G4" s="1">
        <f>DAY(Table3[[#This Row],[ Date]])</f>
        <v>4</v>
      </c>
      <c r="H4"/>
    </row>
    <row r="5" spans="1:12" x14ac:dyDescent="0.3">
      <c r="A5" s="1" t="str">
        <f t="shared" si="0"/>
        <v>S4</v>
      </c>
      <c r="B5" s="2">
        <v>45691</v>
      </c>
      <c r="C5" s="1" t="s">
        <v>7</v>
      </c>
      <c r="D5" s="1">
        <v>20</v>
      </c>
      <c r="E5" s="1">
        <f>YEAR(Table3[[#This Row],[ Date]])</f>
        <v>2025</v>
      </c>
      <c r="F5" s="1">
        <f>MONTH(Table3[[#This Row],[ Date]])</f>
        <v>2</v>
      </c>
      <c r="G5" s="1">
        <f>DAY(Table3[[#This Row],[ Date]])</f>
        <v>3</v>
      </c>
      <c r="H5"/>
    </row>
    <row r="6" spans="1:12" x14ac:dyDescent="0.3">
      <c r="A6" s="1" t="str">
        <f t="shared" si="0"/>
        <v>S3</v>
      </c>
      <c r="B6" s="2">
        <v>45664</v>
      </c>
      <c r="C6" s="1" t="s">
        <v>6</v>
      </c>
      <c r="D6" s="1">
        <v>20</v>
      </c>
      <c r="E6" s="1">
        <f>YEAR(Table3[[#This Row],[ Date]])</f>
        <v>2025</v>
      </c>
      <c r="F6" s="1">
        <f>MONTH(Table3[[#This Row],[ Date]])</f>
        <v>1</v>
      </c>
      <c r="G6" s="1">
        <f>DAY(Table3[[#This Row],[ Date]])</f>
        <v>7</v>
      </c>
      <c r="H6"/>
    </row>
    <row r="7" spans="1:12" x14ac:dyDescent="0.3">
      <c r="A7" s="1" t="str">
        <f t="shared" si="0"/>
        <v>S2</v>
      </c>
      <c r="B7" s="2">
        <v>45664</v>
      </c>
      <c r="C7" s="1" t="s">
        <v>15</v>
      </c>
      <c r="D7" s="1">
        <v>100</v>
      </c>
      <c r="E7" s="1">
        <f>YEAR(Table3[[#This Row],[ Date]])</f>
        <v>2025</v>
      </c>
      <c r="F7" s="1">
        <f>MONTH(Table3[[#This Row],[ Date]])</f>
        <v>1</v>
      </c>
      <c r="G7" s="1">
        <f>DAY(Table3[[#This Row],[ Date]])</f>
        <v>7</v>
      </c>
      <c r="H7"/>
    </row>
    <row r="8" spans="1:12" x14ac:dyDescent="0.3">
      <c r="A8" s="1" t="s">
        <v>30</v>
      </c>
      <c r="B8" s="2">
        <v>45663</v>
      </c>
      <c r="C8" s="1" t="s">
        <v>15</v>
      </c>
      <c r="D8" s="1">
        <v>0</v>
      </c>
      <c r="H8"/>
    </row>
    <row r="9" spans="1:12" x14ac:dyDescent="0.3">
      <c r="H9"/>
    </row>
    <row r="10" spans="1:12" x14ac:dyDescent="0.3">
      <c r="H10"/>
    </row>
    <row r="11" spans="1:12" x14ac:dyDescent="0.3">
      <c r="H11"/>
    </row>
    <row r="12" spans="1:12" x14ac:dyDescent="0.3">
      <c r="H12"/>
      <c r="I12"/>
      <c r="J12"/>
      <c r="K12"/>
    </row>
    <row r="13" spans="1:12" x14ac:dyDescent="0.3">
      <c r="H13"/>
      <c r="I13"/>
      <c r="J13"/>
      <c r="K13"/>
      <c r="L13"/>
    </row>
    <row r="14" spans="1:12" x14ac:dyDescent="0.3">
      <c r="H14"/>
      <c r="I14"/>
      <c r="J14" s="14" t="s">
        <v>33</v>
      </c>
      <c r="K14" t="s">
        <v>36</v>
      </c>
      <c r="L14"/>
    </row>
    <row r="15" spans="1:12" x14ac:dyDescent="0.3">
      <c r="H15"/>
      <c r="I15"/>
      <c r="J15" s="15">
        <v>2024</v>
      </c>
      <c r="K15" s="17"/>
      <c r="L15"/>
    </row>
    <row r="16" spans="1:12" x14ac:dyDescent="0.3">
      <c r="H16"/>
      <c r="I16"/>
      <c r="J16" s="16">
        <v>2</v>
      </c>
      <c r="K16" s="17">
        <v>20</v>
      </c>
      <c r="L16"/>
    </row>
    <row r="17" spans="8:14" x14ac:dyDescent="0.3">
      <c r="H17"/>
      <c r="I17"/>
      <c r="J17" s="15" t="s">
        <v>40</v>
      </c>
      <c r="K17" s="17"/>
      <c r="L17"/>
    </row>
    <row r="18" spans="8:14" x14ac:dyDescent="0.3">
      <c r="H18"/>
      <c r="I18"/>
      <c r="J18" s="16">
        <v>1</v>
      </c>
      <c r="K18" s="17">
        <v>130</v>
      </c>
      <c r="L18"/>
    </row>
    <row r="19" spans="8:14" x14ac:dyDescent="0.3">
      <c r="H19"/>
      <c r="I19"/>
      <c r="J19" s="16">
        <v>2</v>
      </c>
      <c r="K19" s="17">
        <v>20</v>
      </c>
      <c r="L19"/>
    </row>
    <row r="20" spans="8:14" x14ac:dyDescent="0.3">
      <c r="H20"/>
      <c r="I20"/>
      <c r="J20" s="16">
        <v>3</v>
      </c>
      <c r="K20" s="17">
        <v>50</v>
      </c>
      <c r="L20"/>
    </row>
    <row r="21" spans="8:14" x14ac:dyDescent="0.3">
      <c r="H21"/>
      <c r="I21"/>
      <c r="J21" s="15" t="s">
        <v>34</v>
      </c>
      <c r="K21" s="17">
        <v>220</v>
      </c>
      <c r="L21"/>
    </row>
    <row r="22" spans="8:14" x14ac:dyDescent="0.3">
      <c r="H22"/>
      <c r="I22"/>
      <c r="J22"/>
      <c r="K22"/>
      <c r="L22"/>
    </row>
    <row r="23" spans="8:14" ht="15.6" x14ac:dyDescent="0.3">
      <c r="I23"/>
      <c r="J23"/>
      <c r="K23"/>
      <c r="L23"/>
      <c r="M23" s="1" t="s">
        <v>41</v>
      </c>
      <c r="N23" s="29">
        <f ca="1">SUMIF(B:B,TODAY()-1,D:D)</f>
        <v>130</v>
      </c>
    </row>
    <row r="24" spans="8:14" ht="15.6" x14ac:dyDescent="0.3">
      <c r="I24"/>
      <c r="J24"/>
      <c r="K24"/>
      <c r="L24"/>
      <c r="M24" s="1" t="s">
        <v>42</v>
      </c>
      <c r="N24" s="30" cm="1">
        <f t="array" aca="1" ref="N24" ca="1">COUNTA(_xlfn.UNIQUE(_xlfn._xlws.FILTER(C2:C100, (C2:C100&lt;&gt;"")*(B2:B100=TODAY()-1))))</f>
        <v>3</v>
      </c>
    </row>
    <row r="25" spans="8:14" ht="15.6" x14ac:dyDescent="0.3">
      <c r="I25"/>
      <c r="J25"/>
      <c r="K25"/>
      <c r="L25"/>
      <c r="N25" s="31">
        <f ca="1">TODAY()</f>
        <v>45665</v>
      </c>
    </row>
    <row r="26" spans="8:14" x14ac:dyDescent="0.3">
      <c r="I26"/>
      <c r="J26"/>
      <c r="K26"/>
      <c r="L26"/>
    </row>
    <row r="27" spans="8:14" x14ac:dyDescent="0.3">
      <c r="I27"/>
      <c r="J27"/>
      <c r="K27"/>
      <c r="L27"/>
    </row>
    <row r="28" spans="8:14" x14ac:dyDescent="0.3">
      <c r="I28"/>
      <c r="J28"/>
      <c r="K28"/>
      <c r="L28"/>
    </row>
    <row r="29" spans="8:14" x14ac:dyDescent="0.3">
      <c r="I29"/>
      <c r="J29"/>
      <c r="K29"/>
      <c r="L29"/>
    </row>
    <row r="30" spans="8:14" x14ac:dyDescent="0.3">
      <c r="J30" s="14" t="s">
        <v>33</v>
      </c>
      <c r="K30" t="s">
        <v>36</v>
      </c>
      <c r="L30"/>
    </row>
    <row r="31" spans="8:14" x14ac:dyDescent="0.3">
      <c r="J31" s="15" t="s">
        <v>15</v>
      </c>
      <c r="K31" s="17">
        <v>100</v>
      </c>
      <c r="L31"/>
      <c r="M31"/>
    </row>
    <row r="32" spans="8:14" x14ac:dyDescent="0.3">
      <c r="J32" s="15" t="s">
        <v>9</v>
      </c>
      <c r="K32" s="17">
        <v>60</v>
      </c>
      <c r="L32"/>
      <c r="M32"/>
    </row>
    <row r="33" spans="10:14" x14ac:dyDescent="0.3">
      <c r="J33" s="15" t="s">
        <v>10</v>
      </c>
      <c r="K33" s="17">
        <v>20</v>
      </c>
      <c r="L33"/>
      <c r="M33"/>
    </row>
    <row r="34" spans="10:14" x14ac:dyDescent="0.3">
      <c r="J34" s="15" t="s">
        <v>7</v>
      </c>
      <c r="K34" s="17">
        <v>20</v>
      </c>
      <c r="L34"/>
      <c r="M34"/>
      <c r="N34"/>
    </row>
    <row r="35" spans="10:14" x14ac:dyDescent="0.3">
      <c r="J35" s="15" t="s">
        <v>6</v>
      </c>
      <c r="K35" s="17">
        <v>20</v>
      </c>
      <c r="L35"/>
      <c r="M35"/>
    </row>
    <row r="36" spans="10:14" x14ac:dyDescent="0.3">
      <c r="J36" s="15" t="s">
        <v>34</v>
      </c>
      <c r="K36" s="17">
        <v>220</v>
      </c>
      <c r="L36"/>
      <c r="M36"/>
    </row>
    <row r="37" spans="10:14" x14ac:dyDescent="0.3">
      <c r="J37"/>
      <c r="K37"/>
      <c r="L37"/>
      <c r="M37"/>
    </row>
    <row r="38" spans="10:14" x14ac:dyDescent="0.3">
      <c r="J38"/>
      <c r="K38"/>
      <c r="L38"/>
      <c r="M38"/>
    </row>
    <row r="39" spans="10:14" x14ac:dyDescent="0.3">
      <c r="J39"/>
      <c r="K39"/>
      <c r="L39"/>
      <c r="M39"/>
    </row>
    <row r="40" spans="10:14" x14ac:dyDescent="0.3">
      <c r="J40"/>
      <c r="K40"/>
      <c r="L40"/>
      <c r="M40"/>
    </row>
    <row r="41" spans="10:14" x14ac:dyDescent="0.3">
      <c r="J41"/>
      <c r="K41"/>
      <c r="L41"/>
      <c r="M41"/>
    </row>
    <row r="42" spans="10:14" x14ac:dyDescent="0.3">
      <c r="J42"/>
      <c r="K42"/>
      <c r="L42"/>
      <c r="M42"/>
    </row>
    <row r="43" spans="10:14" x14ac:dyDescent="0.3">
      <c r="J43"/>
      <c r="K43"/>
      <c r="L43"/>
      <c r="M43"/>
    </row>
    <row r="44" spans="10:14" x14ac:dyDescent="0.3">
      <c r="J44"/>
      <c r="K44"/>
      <c r="L44"/>
      <c r="M44"/>
    </row>
    <row r="45" spans="10:14" x14ac:dyDescent="0.3">
      <c r="J45"/>
      <c r="K45"/>
      <c r="L45"/>
      <c r="M45"/>
    </row>
    <row r="46" spans="10:14" x14ac:dyDescent="0.3">
      <c r="J46"/>
      <c r="K46"/>
      <c r="L46"/>
      <c r="M46"/>
    </row>
    <row r="47" spans="10:14" x14ac:dyDescent="0.3">
      <c r="J47"/>
      <c r="K47"/>
      <c r="L47"/>
      <c r="M47"/>
    </row>
    <row r="48" spans="10:14" x14ac:dyDescent="0.3">
      <c r="K48"/>
      <c r="L48"/>
      <c r="M48"/>
    </row>
  </sheetData>
  <phoneticPr fontId="2" type="noConversion"/>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BE695-C084-40C0-98BD-4D331429EA78}">
  <sheetPr codeName="Sheet5"/>
  <dimension ref="A1:G10"/>
  <sheetViews>
    <sheetView showGridLines="0" workbookViewId="0">
      <selection activeCell="I31" sqref="I31"/>
    </sheetView>
  </sheetViews>
  <sheetFormatPr defaultRowHeight="14.4" x14ac:dyDescent="0.3"/>
  <cols>
    <col min="1" max="1" width="19.88671875" style="1" customWidth="1"/>
    <col min="2" max="2" width="12.77734375" style="1" customWidth="1"/>
    <col min="3" max="3" width="17.33203125" style="1" bestFit="1" customWidth="1"/>
  </cols>
  <sheetData>
    <row r="1" spans="1:7" ht="46.2" customHeight="1" x14ac:dyDescent="0.3">
      <c r="A1" s="4" t="s">
        <v>23</v>
      </c>
      <c r="B1" s="4" t="s">
        <v>24</v>
      </c>
      <c r="C1" s="4" t="s">
        <v>29</v>
      </c>
      <c r="D1" s="10"/>
      <c r="E1" s="10"/>
      <c r="F1" s="10"/>
      <c r="G1" s="7"/>
    </row>
    <row r="2" spans="1:7" ht="43.8" customHeight="1" x14ac:dyDescent="0.3">
      <c r="A2" s="5"/>
      <c r="B2" s="6"/>
      <c r="C2" s="6"/>
      <c r="D2" s="10"/>
      <c r="E2" s="10"/>
      <c r="F2" s="10"/>
      <c r="G2" s="7"/>
    </row>
    <row r="3" spans="1:7" x14ac:dyDescent="0.3">
      <c r="A3" s="9"/>
      <c r="B3" s="9"/>
      <c r="C3" s="9"/>
      <c r="D3" s="10"/>
      <c r="E3" s="10"/>
      <c r="F3" s="10"/>
      <c r="G3" s="7"/>
    </row>
    <row r="4" spans="1:7" x14ac:dyDescent="0.3">
      <c r="A4" s="9"/>
      <c r="B4" s="9"/>
      <c r="C4" s="9"/>
      <c r="D4" s="10"/>
      <c r="E4" s="10"/>
      <c r="F4" s="10"/>
      <c r="G4" s="7"/>
    </row>
    <row r="5" spans="1:7" x14ac:dyDescent="0.3">
      <c r="A5" s="9"/>
      <c r="B5" s="9"/>
      <c r="C5" s="9"/>
      <c r="D5" s="10"/>
      <c r="E5" s="10"/>
      <c r="F5" s="10"/>
      <c r="G5" s="7"/>
    </row>
    <row r="6" spans="1:7" x14ac:dyDescent="0.3">
      <c r="A6" s="9"/>
      <c r="B6" s="9"/>
      <c r="C6" s="9"/>
      <c r="D6" s="10"/>
      <c r="E6" s="10"/>
      <c r="F6" s="10"/>
      <c r="G6" s="7"/>
    </row>
    <row r="7" spans="1:7" x14ac:dyDescent="0.3">
      <c r="A7" s="9"/>
      <c r="B7" s="9"/>
      <c r="C7" s="9"/>
      <c r="D7" s="10"/>
      <c r="E7" s="10"/>
      <c r="F7" s="10"/>
      <c r="G7" s="7"/>
    </row>
    <row r="8" spans="1:7" x14ac:dyDescent="0.3">
      <c r="A8" s="9"/>
      <c r="B8" s="9"/>
      <c r="C8" s="9"/>
      <c r="D8" s="10"/>
      <c r="E8" s="10"/>
      <c r="F8" s="10"/>
      <c r="G8" s="7"/>
    </row>
    <row r="9" spans="1:7" x14ac:dyDescent="0.3">
      <c r="A9" s="9"/>
      <c r="B9" s="9"/>
      <c r="C9" s="9"/>
      <c r="D9" s="10"/>
      <c r="E9" s="10"/>
      <c r="F9" s="10"/>
      <c r="G9" s="7"/>
    </row>
    <row r="10" spans="1:7" x14ac:dyDescent="0.3">
      <c r="A10" s="11"/>
      <c r="B10" s="11"/>
      <c r="C10" s="11"/>
      <c r="D10" s="12"/>
      <c r="E10" s="12"/>
      <c r="F10" s="12"/>
      <c r="G10"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Collect">
                <anchor moveWithCells="1" sizeWithCells="1">
                  <from>
                    <xdr:col>0</xdr:col>
                    <xdr:colOff>152400</xdr:colOff>
                    <xdr:row>3</xdr:row>
                    <xdr:rowOff>38100</xdr:rowOff>
                  </from>
                  <to>
                    <xdr:col>0</xdr:col>
                    <xdr:colOff>1249680</xdr:colOff>
                    <xdr:row>8</xdr:row>
                    <xdr:rowOff>45720</xdr:rowOff>
                  </to>
                </anchor>
              </controlPr>
            </control>
          </mc:Choice>
        </mc:AlternateContent>
        <mc:AlternateContent xmlns:mc="http://schemas.openxmlformats.org/markup-compatibility/2006">
          <mc:Choice Requires="x14">
            <control shapeId="5124" r:id="rId4" name="Button 4">
              <controlPr defaultSize="0" print="0" autoFill="0" autoPict="0" macro="[0]!Sell">
                <anchor moveWithCells="1" sizeWithCells="1">
                  <from>
                    <xdr:col>1</xdr:col>
                    <xdr:colOff>0</xdr:colOff>
                    <xdr:row>3</xdr:row>
                    <xdr:rowOff>53340</xdr:rowOff>
                  </from>
                  <to>
                    <xdr:col>2</xdr:col>
                    <xdr:colOff>190500</xdr:colOff>
                    <xdr:row>8</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EEDFF5D-25CB-4DF1-9282-9A7E5385BBCA}">
          <x14:formula1>
            <xm:f>Inventory!$A$2:$A$9</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83644-61AB-4816-AB35-AFA34821697A}">
  <dimension ref="A1:O33"/>
  <sheetViews>
    <sheetView workbookViewId="0">
      <selection activeCell="N26" sqref="N26"/>
    </sheetView>
  </sheetViews>
  <sheetFormatPr defaultRowHeight="14.4" x14ac:dyDescent="0.3"/>
  <cols>
    <col min="1" max="1" width="11.44140625" style="2" customWidth="1"/>
    <col min="2" max="2" width="20.77734375" style="1" bestFit="1" customWidth="1"/>
    <col min="3" max="3" width="15.21875" style="1" bestFit="1" customWidth="1"/>
    <col min="4" max="4" width="12.33203125" style="1" bestFit="1" customWidth="1"/>
    <col min="5" max="5" width="20.5546875" style="1" bestFit="1" customWidth="1"/>
    <col min="6" max="6" width="20" style="1" bestFit="1" customWidth="1"/>
    <col min="7" max="7" width="10.5546875" style="1" customWidth="1"/>
    <col min="14" max="14" width="12.77734375" bestFit="1" customWidth="1"/>
    <col min="15" max="15" width="14.44140625" bestFit="1" customWidth="1"/>
  </cols>
  <sheetData>
    <row r="1" spans="1:7" x14ac:dyDescent="0.3">
      <c r="A1" s="2" t="s">
        <v>23</v>
      </c>
      <c r="B1" s="1" t="s">
        <v>43</v>
      </c>
      <c r="C1" s="1" t="s">
        <v>44</v>
      </c>
      <c r="D1" s="1" t="s">
        <v>45</v>
      </c>
      <c r="E1" s="1" t="s">
        <v>46</v>
      </c>
      <c r="F1" s="1" t="s">
        <v>47</v>
      </c>
      <c r="G1" s="1" t="s">
        <v>48</v>
      </c>
    </row>
    <row r="2" spans="1:7" x14ac:dyDescent="0.3">
      <c r="A2" s="2">
        <v>45664</v>
      </c>
      <c r="B2" s="1" t="s">
        <v>49</v>
      </c>
      <c r="D2" s="18">
        <v>100</v>
      </c>
    </row>
    <row r="3" spans="1:7" x14ac:dyDescent="0.3">
      <c r="A3" s="2">
        <v>45664</v>
      </c>
      <c r="B3" s="1" t="s">
        <v>50</v>
      </c>
      <c r="D3" s="18">
        <v>100</v>
      </c>
    </row>
    <row r="4" spans="1:7" x14ac:dyDescent="0.3">
      <c r="A4" s="2">
        <v>45665</v>
      </c>
      <c r="B4" s="1" t="s">
        <v>49</v>
      </c>
      <c r="D4" s="18">
        <v>20</v>
      </c>
    </row>
    <row r="5" spans="1:7" x14ac:dyDescent="0.3">
      <c r="A5" s="2">
        <v>45666</v>
      </c>
      <c r="B5" s="1" t="s">
        <v>52</v>
      </c>
      <c r="D5" s="19">
        <v>31.16</v>
      </c>
    </row>
    <row r="6" spans="1:7" x14ac:dyDescent="0.3">
      <c r="A6" s="2">
        <v>45667</v>
      </c>
      <c r="B6" s="1" t="s">
        <v>53</v>
      </c>
      <c r="D6" s="19">
        <v>382.02</v>
      </c>
    </row>
    <row r="7" spans="1:7" x14ac:dyDescent="0.3">
      <c r="A7" s="2">
        <v>45668</v>
      </c>
      <c r="B7" s="1" t="s">
        <v>54</v>
      </c>
      <c r="D7" s="19">
        <v>273.93</v>
      </c>
    </row>
    <row r="8" spans="1:7" x14ac:dyDescent="0.3">
      <c r="A8" s="2">
        <v>45669</v>
      </c>
      <c r="B8" s="1" t="s">
        <v>53</v>
      </c>
      <c r="D8" s="19">
        <v>144.97999999999999</v>
      </c>
    </row>
    <row r="9" spans="1:7" x14ac:dyDescent="0.3">
      <c r="A9" s="2">
        <v>45670</v>
      </c>
      <c r="B9" s="1" t="s">
        <v>55</v>
      </c>
      <c r="D9" s="19">
        <v>242.68</v>
      </c>
    </row>
    <row r="26" spans="14:15" x14ac:dyDescent="0.3">
      <c r="N26" s="14" t="s">
        <v>33</v>
      </c>
      <c r="O26" t="s">
        <v>51</v>
      </c>
    </row>
    <row r="27" spans="14:15" x14ac:dyDescent="0.3">
      <c r="N27" s="15" t="s">
        <v>50</v>
      </c>
      <c r="O27" s="17">
        <v>100</v>
      </c>
    </row>
    <row r="28" spans="14:15" x14ac:dyDescent="0.3">
      <c r="N28" s="15" t="s">
        <v>54</v>
      </c>
      <c r="O28" s="17">
        <v>273.93</v>
      </c>
    </row>
    <row r="29" spans="14:15" x14ac:dyDescent="0.3">
      <c r="N29" s="15" t="s">
        <v>55</v>
      </c>
      <c r="O29" s="17">
        <v>242.68</v>
      </c>
    </row>
    <row r="30" spans="14:15" x14ac:dyDescent="0.3">
      <c r="N30" s="15" t="s">
        <v>52</v>
      </c>
      <c r="O30" s="17">
        <v>31.16</v>
      </c>
    </row>
    <row r="31" spans="14:15" x14ac:dyDescent="0.3">
      <c r="N31" s="15" t="s">
        <v>53</v>
      </c>
      <c r="O31" s="17">
        <v>527</v>
      </c>
    </row>
    <row r="32" spans="14:15" x14ac:dyDescent="0.3">
      <c r="N32" s="15" t="s">
        <v>49</v>
      </c>
      <c r="O32" s="17">
        <v>120</v>
      </c>
    </row>
    <row r="33" spans="14:15" x14ac:dyDescent="0.3">
      <c r="N33" s="15" t="s">
        <v>34</v>
      </c>
      <c r="O33" s="17">
        <v>1294.77</v>
      </c>
    </row>
  </sheetData>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3CE7-BF4C-43C9-9088-85336FE7D046}">
  <sheetPr codeName="Sheet6"/>
  <dimension ref="A3:AJ53"/>
  <sheetViews>
    <sheetView showGridLines="0" tabSelected="1" workbookViewId="0">
      <selection activeCell="AJ22" sqref="AJ22"/>
    </sheetView>
  </sheetViews>
  <sheetFormatPr defaultRowHeight="14.4" x14ac:dyDescent="0.3"/>
  <sheetData>
    <row r="3" spans="1:32" ht="15" thickBot="1" x14ac:dyDescent="0.35"/>
    <row r="4" spans="1:32" x14ac:dyDescent="0.3">
      <c r="A4" s="20"/>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2"/>
    </row>
    <row r="5" spans="1:32" x14ac:dyDescent="0.3">
      <c r="A5" s="23"/>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5"/>
    </row>
    <row r="6" spans="1:32" x14ac:dyDescent="0.3">
      <c r="A6" s="23"/>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5"/>
    </row>
    <row r="7" spans="1:32" x14ac:dyDescent="0.3">
      <c r="A7" s="23"/>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5"/>
    </row>
    <row r="8" spans="1:32" x14ac:dyDescent="0.3">
      <c r="A8" s="23"/>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5"/>
    </row>
    <row r="9" spans="1:32" x14ac:dyDescent="0.3">
      <c r="A9" s="23"/>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5"/>
    </row>
    <row r="10" spans="1:32" x14ac:dyDescent="0.3">
      <c r="A10" s="23"/>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5"/>
    </row>
    <row r="11" spans="1:32" x14ac:dyDescent="0.3">
      <c r="A11" s="23"/>
      <c r="B11" s="24"/>
      <c r="C11" s="24"/>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5"/>
    </row>
    <row r="12" spans="1:32" x14ac:dyDescent="0.3">
      <c r="A12" s="23"/>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5"/>
    </row>
    <row r="13" spans="1:32" x14ac:dyDescent="0.3">
      <c r="A13" s="23"/>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5"/>
    </row>
    <row r="14" spans="1:32" x14ac:dyDescent="0.3">
      <c r="A14" s="23"/>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5"/>
    </row>
    <row r="15" spans="1:32" x14ac:dyDescent="0.3">
      <c r="A15" s="23"/>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5"/>
    </row>
    <row r="16" spans="1:32" x14ac:dyDescent="0.3">
      <c r="A16" s="23"/>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5"/>
    </row>
    <row r="17" spans="1:36" x14ac:dyDescent="0.3">
      <c r="A17" s="23"/>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5"/>
    </row>
    <row r="18" spans="1:36" x14ac:dyDescent="0.3">
      <c r="A18" s="23"/>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5"/>
    </row>
    <row r="19" spans="1:36" x14ac:dyDescent="0.3">
      <c r="A19" s="23"/>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5"/>
    </row>
    <row r="20" spans="1:36" x14ac:dyDescent="0.3">
      <c r="A20" s="23"/>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5"/>
    </row>
    <row r="21" spans="1:36" x14ac:dyDescent="0.3">
      <c r="A21" s="23"/>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5"/>
    </row>
    <row r="22" spans="1:36" x14ac:dyDescent="0.3">
      <c r="A22" s="23"/>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5"/>
      <c r="AJ22" t="s">
        <v>56</v>
      </c>
    </row>
    <row r="23" spans="1:36" x14ac:dyDescent="0.3">
      <c r="A23" s="23"/>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5"/>
    </row>
    <row r="24" spans="1:36" x14ac:dyDescent="0.3">
      <c r="A24" s="23"/>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5"/>
    </row>
    <row r="25" spans="1:36" x14ac:dyDescent="0.3">
      <c r="A25" s="23"/>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5"/>
    </row>
    <row r="26" spans="1:36" x14ac:dyDescent="0.3">
      <c r="A26" s="23"/>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5"/>
    </row>
    <row r="27" spans="1:36" x14ac:dyDescent="0.3">
      <c r="A27" s="23"/>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5"/>
    </row>
    <row r="28" spans="1:36" x14ac:dyDescent="0.3">
      <c r="A28" s="23"/>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5"/>
    </row>
    <row r="29" spans="1:36" x14ac:dyDescent="0.3">
      <c r="A29" s="23"/>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5"/>
    </row>
    <row r="30" spans="1:36" x14ac:dyDescent="0.3">
      <c r="A30" s="23"/>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5"/>
    </row>
    <row r="31" spans="1:36" x14ac:dyDescent="0.3">
      <c r="A31" s="23"/>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5"/>
    </row>
    <row r="32" spans="1:36" x14ac:dyDescent="0.3">
      <c r="A32" s="23"/>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5"/>
    </row>
    <row r="33" spans="1:32" x14ac:dyDescent="0.3">
      <c r="A33" s="23"/>
      <c r="B33" s="24"/>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5"/>
    </row>
    <row r="34" spans="1:32" x14ac:dyDescent="0.3">
      <c r="A34" s="23"/>
      <c r="B34" s="24"/>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5"/>
    </row>
    <row r="35" spans="1:32" x14ac:dyDescent="0.3">
      <c r="A35" s="23"/>
      <c r="B35" s="24"/>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5"/>
    </row>
    <row r="36" spans="1:32" x14ac:dyDescent="0.3">
      <c r="A36" s="23"/>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5"/>
    </row>
    <row r="37" spans="1:32" x14ac:dyDescent="0.3">
      <c r="A37" s="23"/>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5"/>
    </row>
    <row r="38" spans="1:32" x14ac:dyDescent="0.3">
      <c r="A38" s="23"/>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5"/>
    </row>
    <row r="39" spans="1:32" x14ac:dyDescent="0.3">
      <c r="A39" s="23"/>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5"/>
    </row>
    <row r="40" spans="1:32" x14ac:dyDescent="0.3">
      <c r="A40" s="23"/>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5"/>
    </row>
    <row r="41" spans="1:32" x14ac:dyDescent="0.3">
      <c r="A41" s="23"/>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5"/>
    </row>
    <row r="42" spans="1:32" x14ac:dyDescent="0.3">
      <c r="A42" s="23"/>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5"/>
    </row>
    <row r="43" spans="1:32" x14ac:dyDescent="0.3">
      <c r="A43" s="23"/>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5"/>
    </row>
    <row r="44" spans="1:32" x14ac:dyDescent="0.3">
      <c r="A44" s="23"/>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5"/>
    </row>
    <row r="45" spans="1:32" x14ac:dyDescent="0.3">
      <c r="A45" s="23"/>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5"/>
    </row>
    <row r="46" spans="1:32" x14ac:dyDescent="0.3">
      <c r="A46" s="23"/>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5"/>
    </row>
    <row r="47" spans="1:32" x14ac:dyDescent="0.3">
      <c r="A47" s="23"/>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5"/>
    </row>
    <row r="48" spans="1:32" x14ac:dyDescent="0.3">
      <c r="A48" s="23"/>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5"/>
    </row>
    <row r="49" spans="1:32" x14ac:dyDescent="0.3">
      <c r="A49" s="23"/>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5"/>
    </row>
    <row r="50" spans="1:32" x14ac:dyDescent="0.3">
      <c r="A50" s="23"/>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5"/>
    </row>
    <row r="51" spans="1:32" x14ac:dyDescent="0.3">
      <c r="A51" s="23"/>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5"/>
    </row>
    <row r="52" spans="1:32" x14ac:dyDescent="0.3">
      <c r="A52" s="23"/>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5"/>
    </row>
    <row r="53" spans="1:32" ht="15" thickBot="1" x14ac:dyDescent="0.35">
      <c r="A53" s="26"/>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EA9B1CD-707A-4655-BC94-262D1FEB603C}">
  <ds:schemaRefs/>
</ds:datastoreItem>
</file>

<file path=customXml/itemProps2.xml><?xml version="1.0" encoding="utf-8"?>
<ds:datastoreItem xmlns:ds="http://schemas.openxmlformats.org/officeDocument/2006/customXml" ds:itemID="{7DC99335-9879-4449-9D8F-BFC7A5DEE817}">
  <ds:schemaRefs/>
</ds:datastoreItem>
</file>

<file path=customXml/itemProps3.xml><?xml version="1.0" encoding="utf-8"?>
<ds:datastoreItem xmlns:ds="http://schemas.openxmlformats.org/officeDocument/2006/customXml" ds:itemID="{F4BACACA-C3C8-4B11-A321-4DEF84D4F06B}">
  <ds:schemaRefs/>
</ds:datastoreItem>
</file>

<file path=customXml/itemProps4.xml><?xml version="1.0" encoding="utf-8"?>
<ds:datastoreItem xmlns:ds="http://schemas.openxmlformats.org/officeDocument/2006/customXml" ds:itemID="{F440F5FB-2516-4BA5-80A2-B0E30E9981AA}">
  <ds:schemaRefs/>
</ds:datastoreItem>
</file>

<file path=customXml/itemProps5.xml><?xml version="1.0" encoding="utf-8"?>
<ds:datastoreItem xmlns:ds="http://schemas.openxmlformats.org/officeDocument/2006/customXml" ds:itemID="{1342260C-3D1A-46B5-93FB-D11F925602CB}">
  <ds:schemaRefs/>
</ds:datastoreItem>
</file>

<file path=customXml/itemProps6.xml><?xml version="1.0" encoding="utf-8"?>
<ds:datastoreItem xmlns:ds="http://schemas.openxmlformats.org/officeDocument/2006/customXml" ds:itemID="{918E70FB-7AC1-4CE0-993B-9F55CF3E3DBB}">
  <ds:schemaRefs/>
</ds:datastoreItem>
</file>

<file path=customXml/itemProps7.xml><?xml version="1.0" encoding="utf-8"?>
<ds:datastoreItem xmlns:ds="http://schemas.openxmlformats.org/officeDocument/2006/customXml" ds:itemID="{ADAABE53-4A3C-47AC-B9DF-FB1F6D2A4D31}">
  <ds:schemaRefs/>
</ds:datastoreItem>
</file>

<file path=customXml/itemProps8.xml><?xml version="1.0" encoding="utf-8"?>
<ds:datastoreItem xmlns:ds="http://schemas.openxmlformats.org/officeDocument/2006/customXml" ds:itemID="{F6BDBEA0-EEFC-434A-90A5-8DB7A44F1866}">
  <ds:schemaRefs/>
</ds:datastoreItem>
</file>

<file path=customXml/itemProps9.xml><?xml version="1.0" encoding="utf-8"?>
<ds:datastoreItem xmlns:ds="http://schemas.openxmlformats.org/officeDocument/2006/customXml" ds:itemID="{695041A5-28A3-461C-AA8F-3CCADD39DFD6}">
  <ds:schemaRefs>
    <ds:schemaRef ds:uri="http://schemas.microsoft.com/DataMashup"/>
  </ds:schemaRefs>
</ds:datastoreItem>
</file>

<file path=customXml/itemProps10.xml><?xml version="1.0" encoding="utf-8"?>
<ds:datastoreItem xmlns:ds="http://schemas.openxmlformats.org/officeDocument/2006/customXml" ds:itemID="{9517DFE6-A74A-4FB8-8541-F51C18127F6F}">
  <ds:schemaRefs/>
</ds:datastoreItem>
</file>

<file path=customXml/itemProps11.xml><?xml version="1.0" encoding="utf-8"?>
<ds:datastoreItem xmlns:ds="http://schemas.openxmlformats.org/officeDocument/2006/customXml" ds:itemID="{D81071E3-F948-4999-A046-8E2284A01DCC}">
  <ds:schemaRefs/>
</ds:datastoreItem>
</file>

<file path=customXml/itemProps12.xml><?xml version="1.0" encoding="utf-8"?>
<ds:datastoreItem xmlns:ds="http://schemas.openxmlformats.org/officeDocument/2006/customXml" ds:itemID="{9BFB3CC7-D9D2-47B6-9A04-63742AC4152D}">
  <ds:schemaRefs/>
</ds:datastoreItem>
</file>

<file path=customXml/itemProps13.xml><?xml version="1.0" encoding="utf-8"?>
<ds:datastoreItem xmlns:ds="http://schemas.openxmlformats.org/officeDocument/2006/customXml" ds:itemID="{374A0157-A5A4-46AB-9B3C-B4AAC7B45BE8}">
  <ds:schemaRefs/>
</ds:datastoreItem>
</file>

<file path=customXml/itemProps14.xml><?xml version="1.0" encoding="utf-8"?>
<ds:datastoreItem xmlns:ds="http://schemas.openxmlformats.org/officeDocument/2006/customXml" ds:itemID="{5963A3B1-56E4-42B6-9361-F8676A17F764}">
  <ds:schemaRefs/>
</ds:datastoreItem>
</file>

<file path=customXml/itemProps15.xml><?xml version="1.0" encoding="utf-8"?>
<ds:datastoreItem xmlns:ds="http://schemas.openxmlformats.org/officeDocument/2006/customXml" ds:itemID="{D96DDCAB-C2F1-4F7E-857A-19B0CC05D917}">
  <ds:schemaRefs/>
</ds:datastoreItem>
</file>

<file path=customXml/itemProps16.xml><?xml version="1.0" encoding="utf-8"?>
<ds:datastoreItem xmlns:ds="http://schemas.openxmlformats.org/officeDocument/2006/customXml" ds:itemID="{4FC95560-3ED4-48CC-BEF0-A2AEC28B15D1}">
  <ds:schemaRefs/>
</ds:datastoreItem>
</file>

<file path=customXml/itemProps17.xml><?xml version="1.0" encoding="utf-8"?>
<ds:datastoreItem xmlns:ds="http://schemas.openxmlformats.org/officeDocument/2006/customXml" ds:itemID="{FC2BDC6E-8EF1-4D7B-9326-554C7E2D852A}">
  <ds:schemaRefs/>
</ds:datastoreItem>
</file>

<file path=customXml/itemProps18.xml><?xml version="1.0" encoding="utf-8"?>
<ds:datastoreItem xmlns:ds="http://schemas.openxmlformats.org/officeDocument/2006/customXml" ds:itemID="{7FCD1EF9-DEBE-4D26-8E9C-53A1CA861B49}">
  <ds:schemaRefs/>
</ds:datastoreItem>
</file>

<file path=customXml/itemProps19.xml><?xml version="1.0" encoding="utf-8"?>
<ds:datastoreItem xmlns:ds="http://schemas.openxmlformats.org/officeDocument/2006/customXml" ds:itemID="{1A7B6EDA-8B37-4D2C-BDA8-271A3198F0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Items</vt:lpstr>
      <vt:lpstr>Inventory</vt:lpstr>
      <vt:lpstr>Daily Collection</vt:lpstr>
      <vt:lpstr>Daily Sales</vt:lpstr>
      <vt:lpstr>Input</vt:lpstr>
      <vt:lpstr>Expenses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Laptop</dc:creator>
  <cp:lastModifiedBy>Amr Alaa</cp:lastModifiedBy>
  <dcterms:created xsi:type="dcterms:W3CDTF">2015-06-05T18:17:20Z</dcterms:created>
  <dcterms:modified xsi:type="dcterms:W3CDTF">2025-01-08T19:04:53Z</dcterms:modified>
</cp:coreProperties>
</file>